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F4CE28B4-6F0A-42EB-A122-EA1A5CEAF8E1}" xr6:coauthVersionLast="47" xr6:coauthVersionMax="47" xr10:uidLastSave="{00000000-0000-0000-0000-000000000000}"/>
  <bookViews>
    <workbookView xWindow="3015" yWindow="915" windowWidth="35385" windowHeight="20685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T41" i="3" s="1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18" i="3"/>
  <c r="S40" i="3"/>
  <c r="S62" i="3"/>
  <c r="T61" i="3"/>
  <c r="S38" i="3"/>
  <c r="S65" i="3"/>
  <c r="S55" i="3"/>
  <c r="T11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/>
  <c r="AP20" i="3" s="1"/>
  <c r="BI26" i="3" l="1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11" i="3"/>
  <c r="AR10" i="3"/>
  <c r="AD58" i="3" l="1"/>
  <c r="AR70" i="3"/>
  <c r="AR69" i="3"/>
  <c r="AR35" i="3"/>
  <c r="AR71" i="3"/>
  <c r="AR9" i="3"/>
  <c r="AD9" i="3" s="1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AD68" i="3"/>
  <c r="M69" i="3" s="1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69" i="3" l="1"/>
  <c r="AS68" i="3" s="1"/>
  <c r="BL70" i="3" s="1"/>
  <c r="O69" i="3"/>
  <c r="N69" i="3"/>
  <c r="L69" i="3"/>
  <c r="P69" i="3" s="1"/>
  <c r="N71" i="3"/>
  <c r="J71" i="3"/>
  <c r="AE90" i="3" s="1"/>
  <c r="AQ90" i="3" s="1"/>
  <c r="J70" i="3"/>
  <c r="AS69" i="3" s="1"/>
  <c r="BL26" i="3" s="1"/>
  <c r="S86" i="3" s="1"/>
  <c r="T86" i="3" s="1" a="1"/>
  <c r="T86" i="3" s="1"/>
  <c r="O72" i="3"/>
  <c r="J72" i="3"/>
  <c r="L71" i="3"/>
  <c r="N72" i="3"/>
  <c r="M72" i="3"/>
  <c r="O71" i="3"/>
  <c r="L72" i="3"/>
  <c r="M71" i="3"/>
  <c r="O70" i="3"/>
  <c r="N70" i="3"/>
  <c r="L70" i="3"/>
  <c r="M70" i="3"/>
  <c r="J36" i="3"/>
  <c r="J33" i="3"/>
  <c r="AS32" i="3" s="1"/>
  <c r="BL10" i="3" s="1"/>
  <c r="N36" i="3"/>
  <c r="N35" i="3"/>
  <c r="O36" i="3"/>
  <c r="O34" i="3"/>
  <c r="L36" i="3"/>
  <c r="M35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BS28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BZ48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AF90" i="3"/>
  <c r="AG90" i="3"/>
  <c r="AH90" i="3" l="1"/>
  <c r="K71" i="3"/>
  <c r="K69" i="3"/>
  <c r="AT90" i="3"/>
  <c r="AN90" i="3"/>
  <c r="AJ90" i="3"/>
  <c r="AI90" i="3"/>
  <c r="P72" i="3"/>
  <c r="AL90" i="3"/>
  <c r="K72" i="3"/>
  <c r="P71" i="3"/>
  <c r="P70" i="3"/>
  <c r="K70" i="3"/>
  <c r="K36" i="3"/>
  <c r="P35" i="3"/>
  <c r="P34" i="3"/>
  <c r="P12" i="3"/>
  <c r="P33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2" i="3" s="1"/>
  <c r="BZ49" i="3" s="1"/>
  <c r="CG55" i="3" s="1"/>
  <c r="CN49" i="3" s="1"/>
  <c r="BS53" i="3"/>
  <c r="BS69" i="3"/>
  <c r="BZ65" i="3" s="1"/>
  <c r="CG56" i="3" s="1"/>
  <c r="CN38" i="3" s="1"/>
  <c r="BS68" i="3"/>
  <c r="S91" i="3" l="1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<sst xmlns="http://schemas.openxmlformats.org/spreadsheetml/2006/main" count="9786" uniqueCount="3698">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</sst>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1477104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1474394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1473929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1474394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1474550</xdr:colOff>
      <xdr:row>23</xdr:row>
      <xdr:rowOff>1415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160165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239475</xdr:colOff>
      <xdr:row>36</xdr:row>
      <xdr:rowOff>1526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28</xdr:row>
      <xdr:rowOff>1526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1474085</xdr:colOff>
      <xdr:row>15</xdr:row>
      <xdr:rowOff>160385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163560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1474085</xdr:colOff>
      <xdr:row>19</xdr:row>
      <xdr:rowOff>160494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1474085</xdr:colOff>
      <xdr:row>21</xdr:row>
      <xdr:rowOff>160603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160713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1474085</xdr:colOff>
      <xdr:row>42</xdr:row>
      <xdr:rowOff>160823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239010</xdr:colOff>
      <xdr:row>76</xdr:row>
      <xdr:rowOff>160932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1474085</xdr:colOff>
      <xdr:row>12</xdr:row>
      <xdr:rowOff>161041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160381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37</xdr:row>
      <xdr:rowOff>1130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49</xdr:row>
      <xdr:rowOff>1566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1478341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1476048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1478341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217866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1477876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1456116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1479223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1456116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1476302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217474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239699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238852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158776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239317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239317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1496152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12" zoomScaleNormal="100" workbookViewId="0">
      <selection activeCell="CN47" sqref="CN47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0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2</v>
      </c>
      <c r="AJ8" s="123">
        <f>SUMIF($E$7:$E$78,$AE8,$G$7:$G$78) + SUMIF($H$7:$H$78,$AE8,$F$7:$F$78)</f>
        <v>0</v>
      </c>
      <c r="AL8" s="123">
        <f>AI8-AJ8</f>
        <v>2</v>
      </c>
      <c r="AM8" s="123">
        <f>AL8-AL12</f>
        <v>4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87500008.500840515</v>
      </c>
      <c r="AQ8" s="126">
        <f>VLOOKUP(AE8,db_fifarank,2,FALSE)</f>
        <v>1681.03</v>
      </c>
      <c r="AR8" s="125">
        <f>AP8/AP12</f>
        <v>0.9999999885714298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2 - 0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3</v>
      </c>
      <c r="AJ9" s="123">
        <f>SUMIF($E$7:$E$78,$AE9,$G$7:$G$78) + SUMIF($H$7:$H$78,$AE9,$F$7:$F$78)</f>
        <v>3</v>
      </c>
      <c r="AL9" s="123">
        <f>AI9-AJ9</f>
        <v>0</v>
      </c>
      <c r="AM9" s="123">
        <f>AL9-AL12</f>
        <v>2</v>
      </c>
      <c r="AN9" s="123">
        <f>AF9*3+AG9</f>
        <v>4</v>
      </c>
      <c r="AO9" s="123">
        <f>AN9/AN12*10+BA9</f>
        <v>5</v>
      </c>
      <c r="AP9" s="123">
        <f>AO9*10000000+BI9*100+AM9/AM12*10+AI9/AI12*1++IF(AQ9=0,ROW(),AQ9)/2000000</f>
        <v>50000004.750714868</v>
      </c>
      <c r="AQ9" s="126">
        <f>VLOOKUP(AE9,db_fifarank,2,FALSE)</f>
        <v>1429.73</v>
      </c>
      <c r="AR9" s="125">
        <f>AP9/AP12</f>
        <v>0.57142856367615102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3</v>
      </c>
      <c r="AH10" s="123">
        <f>COUNTIF($S$7:$T$78,"=" &amp; AE10 &amp; "_lose")</f>
        <v>0</v>
      </c>
      <c r="AI10" s="123">
        <f>SUMIF($E$7:$E$78,$AE10,$F$7:$F$78) + SUMIF($H$7:$H$78,$AE10,$G$7:$G$78)</f>
        <v>1</v>
      </c>
      <c r="AJ10" s="123">
        <f>SUMIF($E$7:$E$78,$AE10,$G$7:$G$78) + SUMIF($H$7:$H$78,$AE10,$F$7:$F$78)</f>
        <v>1</v>
      </c>
      <c r="AL10" s="123">
        <f>AI10-AJ10</f>
        <v>0</v>
      </c>
      <c r="AM10" s="123">
        <f>AL10-AL12</f>
        <v>2</v>
      </c>
      <c r="AN10" s="123">
        <f>AF10*3+AG10</f>
        <v>3</v>
      </c>
      <c r="AO10" s="123">
        <f>AN10/AN12*10+BA10</f>
        <v>3.75</v>
      </c>
      <c r="AP10" s="123">
        <f>AO10*10000000+BI10*100+AM10/AM12*10+AI10/AI12*1++IF(AQ10=0,ROW(),AQ10)/2000000</f>
        <v>37500004.250794329</v>
      </c>
      <c r="AQ10" s="126">
        <f>VLOOKUP(AE10,db_fifarank,2,FALSE)</f>
        <v>1588.66</v>
      </c>
      <c r="AR10" s="125">
        <f>AP10/AP12</f>
        <v>0.42857143061720593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Ecuador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1 - 1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3</v>
      </c>
      <c r="AL11" s="123">
        <f>AI11-AJ11</f>
        <v>-2</v>
      </c>
      <c r="AM11" s="123">
        <f>AL11-AL12</f>
        <v>0</v>
      </c>
      <c r="AN11" s="123">
        <f>AF11*3+AG11</f>
        <v>1</v>
      </c>
      <c r="AO11" s="123">
        <f>AN11/AN12*10+BA11</f>
        <v>1.25</v>
      </c>
      <c r="AP11" s="123">
        <f>AO11*10000000+BI11*100+AM11/AM12*10+AI11/AI12*1++IF(AQ11=0,ROW(),AQ11)/2000000</f>
        <v>12500000.250750691</v>
      </c>
      <c r="AQ11" s="126">
        <f>VLOOKUP(AE11,db_fifarank,2,FALSE)</f>
        <v>1501.38</v>
      </c>
      <c r="AR11" s="125">
        <f>AP11/AP12</f>
        <v>0.14285713021129007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1 - 3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4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87500009.500840515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Ecuador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2</v>
      </c>
      <c r="AL14" s="123">
        <f>AI14-AJ14</f>
        <v>2</v>
      </c>
      <c r="AM14" s="123">
        <f>AL14-AL18</f>
        <v>4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87500008.80077824</v>
      </c>
      <c r="AQ14" s="126">
        <f>VLOOKUP(AE14,db_fifarank,2,FALSE)</f>
        <v>1556.48</v>
      </c>
      <c r="AR14" s="125">
        <f>AP14/AP18</f>
        <v>0.9999999885714298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0</v>
      </c>
      <c r="AN15" s="123">
        <f>AF15*3+AG15</f>
        <v>1</v>
      </c>
      <c r="AO15" s="123">
        <f>AN15/AN18*10+BA15</f>
        <v>1.25</v>
      </c>
      <c r="AP15" s="123">
        <f>AO15*10000000+BI15*100+AM15/AM18*10+AI15/AI18*1++IF(AQ15=0,ROW(),AQ15)/2000000</f>
        <v>12500000.20069292</v>
      </c>
      <c r="AQ15" s="126">
        <f>VLOOKUP(AE15,db_fifarank,2,FALSE)</f>
        <v>1385.84</v>
      </c>
      <c r="AR15" s="125">
        <f>AP15/AP18</f>
        <v>0.14285712914950716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Saudi Arabia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2 - 1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3</v>
      </c>
      <c r="AL16" s="123">
        <f>AI16-AJ16</f>
        <v>-1</v>
      </c>
      <c r="AM16" s="123">
        <f>AL16-AL18</f>
        <v>1</v>
      </c>
      <c r="AN16" s="123">
        <f>AF16*3+AG16</f>
        <v>2</v>
      </c>
      <c r="AO16" s="123">
        <f>AN16/AN18*10+BA16</f>
        <v>2.5</v>
      </c>
      <c r="AP16" s="123">
        <f>AO16*10000000+BI16*100+AM16/AM18*10+AI16/AI18*1++IF(AQ16=0,ROW(),AQ16)/2000000</f>
        <v>25000002.400727477</v>
      </c>
      <c r="AQ16" s="126">
        <f>VLOOKUP(AE16,db_fifarank,2,FALSE)</f>
        <v>1454.96</v>
      </c>
      <c r="AR16" s="125">
        <f>AP16/AP18</f>
        <v>0.28571428114863051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2 - 3</v>
      </c>
      <c r="P17" s="34">
        <f>L17*3+M17</f>
        <v>2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2</v>
      </c>
      <c r="AJ17" s="123">
        <f>SUMIF($E$7:$E$78,$AE17,$G$7:$G$78) + SUMIF($H$7:$H$78,$AE17,$F$7:$F$78)</f>
        <v>1</v>
      </c>
      <c r="AL17" s="123">
        <f>AI17-AJ17</f>
        <v>1</v>
      </c>
      <c r="AM17" s="123">
        <f>AL17-AL18</f>
        <v>3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62500006.400824696</v>
      </c>
      <c r="AQ17" s="126">
        <f>VLOOKUP(AE17,db_fifarank,2,FALSE)</f>
        <v>1649.4</v>
      </c>
      <c r="AR17" s="125">
        <f>AP17/AP18</f>
        <v>0.71428570743164432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1 - 3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0</v>
      </c>
      <c r="W18" s="123">
        <f t="shared" si="4"/>
        <v>0</v>
      </c>
      <c r="X18" s="123">
        <f t="shared" si="9"/>
        <v>1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3</v>
      </c>
      <c r="AI18" s="123">
        <f>MAX(AI14:AI17)+1</f>
        <v>5</v>
      </c>
      <c r="AL18" s="123">
        <f>MIN(AL14:AL17)</f>
        <v>-2</v>
      </c>
      <c r="AM18" s="123">
        <f>MAX(AM14:AM17)+1</f>
        <v>5</v>
      </c>
      <c r="AN18" s="123">
        <f>MAX(AN14:AN17)+1</f>
        <v>8</v>
      </c>
      <c r="AO18" s="123">
        <f>MAX(AO14:AO17)+1</f>
        <v>9.75</v>
      </c>
      <c r="AP18" s="123">
        <f>MAX(AP14:AP17)+1</f>
        <v>87500009.80077824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South Africa</v>
      </c>
      <c r="BM18" s="61">
        <v>0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1</v>
      </c>
      <c r="V19" s="123">
        <f t="shared" si="3"/>
        <v>0</v>
      </c>
      <c r="W19" s="123">
        <f t="shared" si="4"/>
        <v>1</v>
      </c>
      <c r="X19" s="123">
        <f t="shared" si="9"/>
        <v>1</v>
      </c>
      <c r="Y19" s="123">
        <f t="shared" si="10"/>
        <v>0</v>
      </c>
      <c r="Z19" s="123">
        <f t="shared" si="11"/>
        <v>1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Switzerland</v>
      </c>
      <c r="BM19" s="62">
        <v>0</v>
      </c>
      <c r="BN19" s="64">
        <v>0</v>
      </c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5</v>
      </c>
      <c r="AJ20" s="123">
        <f>SUMIF($E$7:$E$78,$AE20,$G$7:$G$78) + SUMIF($H$7:$H$78,$AE20,$F$7:$F$78)</f>
        <v>2</v>
      </c>
      <c r="AL20" s="123">
        <f>AI20-AJ20</f>
        <v>3</v>
      </c>
      <c r="AM20" s="123">
        <f>AL20-AL24</f>
        <v>7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90000008.492944077</v>
      </c>
      <c r="AQ20" s="126">
        <f>VLOOKUP(AE20,db_fifarank,2,FALSE)</f>
        <v>1761.16</v>
      </c>
      <c r="AR20" s="125">
        <f>AP20/AP24</f>
        <v>0.99999998888889008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South Africa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5 - 2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8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60000009.746909678</v>
      </c>
      <c r="AQ21" s="126">
        <f>VLOOKUP(AE21,db_fifarank,2,FALSE)</f>
        <v>1755.87</v>
      </c>
      <c r="AR21" s="125">
        <f>AP21/AP24</f>
        <v>0.66666670464755484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0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Belgium_lose</v>
      </c>
      <c r="T22" s="127" t="str">
        <f t="shared" si="2"/>
        <v>Egypt_win</v>
      </c>
      <c r="U22" s="123">
        <f t="shared" si="8"/>
        <v>1</v>
      </c>
      <c r="V22" s="123">
        <f t="shared" si="3"/>
        <v>0</v>
      </c>
      <c r="W22" s="123">
        <f t="shared" si="4"/>
        <v>1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-1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5</v>
      </c>
      <c r="AL22" s="123">
        <f>AI22-AJ22</f>
        <v>-4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0.14350299785714285</v>
      </c>
      <c r="AQ22" s="126">
        <f>VLOOKUP(AE22,db_fifarank,2,FALSE)</f>
        <v>1291.71</v>
      </c>
      <c r="AR22" s="125">
        <f>AP22/AP24</f>
        <v>1.5944775857872923E-9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0</v>
      </c>
      <c r="BN22" s="63">
        <v>1</v>
      </c>
      <c r="BO22" s="25">
        <v>0</v>
      </c>
      <c r="BP22" s="116">
        <f>IF(OR(BM22="",BM23="",AND(BN22="",BN23&lt;&gt;""),AND(BN23="",BN22&lt;&gt;""),AND(BO22="",BO23&lt;&gt;""),AND(BO23="",BO22&lt;&gt;"")),"",BM22*1000+BN22*10+BO22)</f>
        <v>10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1 - 4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4</v>
      </c>
      <c r="AL23" s="123">
        <f>AI23-AJ23</f>
        <v>-3</v>
      </c>
      <c r="AM23" s="123">
        <f>AL23-AL24</f>
        <v>1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30000001.254717428</v>
      </c>
      <c r="AQ23" s="126">
        <f>VLOOKUP(AE23,db_fifarank,2,FALSE)</f>
        <v>1498.35</v>
      </c>
      <c r="AR23" s="125">
        <f>AP23/AP24</f>
        <v>0.3333333121155882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0</v>
      </c>
      <c r="BN23" s="64">
        <v>1</v>
      </c>
      <c r="BO23" s="27">
        <v>1</v>
      </c>
      <c r="BP23" s="112">
        <f>IF(BP22="","",BM23*1000+BN23*10+BO23)</f>
        <v>11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>
        <v>1</v>
      </c>
      <c r="CJ23" s="25"/>
      <c r="CK23" s="112">
        <f>IF(OR(CH23="",CH24="",AND(CI23="",CI24&lt;&gt;""),AND(CI24="",CI23&lt;&gt;""),AND(CJ23="",CJ24&lt;&gt;""),AND(CJ24="",CJ23&lt;&gt;"")),"",CH23*1000+CI23*10+CJ23)</f>
        <v>2010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1 - 5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7</v>
      </c>
      <c r="AL24" s="123">
        <f>MIN(AL20:AL23)</f>
        <v>-4</v>
      </c>
      <c r="AM24" s="123">
        <f>MAX(AM20:AM23)+1</f>
        <v>9</v>
      </c>
      <c r="AN24" s="123">
        <f>MAX(AN20:AN23)+1</f>
        <v>10</v>
      </c>
      <c r="AO24" s="123">
        <f>MAX(AO20:AO23)+1</f>
        <v>10</v>
      </c>
      <c r="AP24" s="123">
        <f>MAX(AP20:AP23)+1</f>
        <v>90000009.492944077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>
        <v>0</v>
      </c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1</v>
      </c>
      <c r="V26" s="123">
        <f t="shared" si="3"/>
        <v>0</v>
      </c>
      <c r="W26" s="123">
        <f t="shared" si="4"/>
        <v>0</v>
      </c>
      <c r="X26" s="123">
        <f t="shared" si="9"/>
        <v>1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1</v>
      </c>
      <c r="AL26" s="123">
        <f>AI26-AJ26</f>
        <v>2</v>
      </c>
      <c r="AM26" s="123">
        <f>AL26-AL30</f>
        <v>6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62500007.16750323</v>
      </c>
      <c r="AQ26" s="126">
        <f>VLOOKUP(AE26,db_fifarank,2,FALSE)</f>
        <v>1673.13</v>
      </c>
      <c r="AR26" s="125">
        <f>AP26/AP30</f>
        <v>0.71428570866516616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5 - 1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0</v>
      </c>
      <c r="AJ27" s="123">
        <f>SUMIF($E$7:$E$78,$AE27,$G$7:$G$78) + SUMIF($H$7:$H$78,$AE27,$F$7:$F$78)</f>
        <v>4</v>
      </c>
      <c r="AL27" s="123">
        <f>AI27-AJ27</f>
        <v>-4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12500000.000751751</v>
      </c>
      <c r="AQ27" s="126">
        <f>VLOOKUP(AE27,db_fifarank,2,FALSE)</f>
        <v>1503.5</v>
      </c>
      <c r="AR27" s="125">
        <f>AP27/AP30</f>
        <v>0.14285712535876216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3 - 1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2</v>
      </c>
      <c r="AL28" s="123">
        <f>AI28-AJ28</f>
        <v>-2</v>
      </c>
      <c r="AM28" s="123">
        <f>AL28-AL30</f>
        <v>2</v>
      </c>
      <c r="AN28" s="123">
        <f>AF28*3+AG28</f>
        <v>2</v>
      </c>
      <c r="AO28" s="123">
        <f>AN28/AN30*10+BA28</f>
        <v>2.5</v>
      </c>
      <c r="AP28" s="123">
        <f>AO28*10000000+BI28*100+AM28/AM30*10+AI28/AI30*1++IF(AQ28=0,ROW(),AQ28)/2000000</f>
        <v>25000002.223012559</v>
      </c>
      <c r="AQ28" s="126">
        <f>VLOOKUP(AE28,db_fifarank,2,FALSE)</f>
        <v>1580.67</v>
      </c>
      <c r="AR28" s="125">
        <f>AP28/AP30</f>
        <v>0.28571427610619615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0 - 2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1</v>
      </c>
      <c r="AL29" s="123">
        <f>AI29-AJ29</f>
        <v>4</v>
      </c>
      <c r="AM29" s="123">
        <f>AL29-AL30</f>
        <v>8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87500009.723021746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0 - 4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3</v>
      </c>
      <c r="AI30" s="123">
        <f>MAX(AI26:AI29)+1</f>
        <v>6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9.75</v>
      </c>
      <c r="AP30" s="123">
        <f>MAX(AP26:AP29)+1</f>
        <v>87500010.723021746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2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4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5</v>
      </c>
      <c r="AJ32" s="123">
        <f>SUMIF($E$7:$E$78,$AE32,$G$7:$G$78) + SUMIF($H$7:$H$78,$AE32,$F$7:$F$78)</f>
        <v>2</v>
      </c>
      <c r="AL32" s="123">
        <f>AI32-AJ32</f>
        <v>3</v>
      </c>
      <c r="AM32" s="123">
        <f>AL32-AL36</f>
        <v>8</v>
      </c>
      <c r="AN32" s="123">
        <f>AF32*3+AG32</f>
        <v>6</v>
      </c>
      <c r="AO32" s="123">
        <f>AN32/AN36*10+BA32</f>
        <v>6</v>
      </c>
      <c r="AP32" s="123">
        <f>AO32*10000000+BI32*100+AM32/AM36*10+AI32/AI36*1++IF(AQ32=0,ROW(),AQ32)/2000000</f>
        <v>60000009.723087408</v>
      </c>
      <c r="AQ32" s="126">
        <f>VLOOKUP(AE32,db_fifarank,2,FALSE)</f>
        <v>1730.37</v>
      </c>
      <c r="AR32" s="125">
        <f>AP32/AP36</f>
        <v>0.6666666965057606</v>
      </c>
      <c r="AS32" s="125" t="str">
        <f>IF(SUM(AF32:AH35)=12,J33,"1E")</f>
        <v>Ecuador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Ecuador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4 - 1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5</v>
      </c>
      <c r="AL33" s="123">
        <f>AI33-AJ33</f>
        <v>-5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7.1924991563715588E-12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0</v>
      </c>
      <c r="G34" s="20">
        <v>0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5 - 2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5</v>
      </c>
      <c r="AL34" s="123">
        <f>AI34-AJ34</f>
        <v>-1</v>
      </c>
      <c r="AM34" s="123">
        <f>AL34-AL36</f>
        <v>4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30000005.111877602</v>
      </c>
      <c r="AQ34" s="126">
        <f>VLOOKUP(AE34,db_fifarank,2,FALSE)</f>
        <v>1532.98</v>
      </c>
      <c r="AR34" s="125">
        <f>AP34/AP36</f>
        <v>0.33333335103436773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1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4 - 5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1</v>
      </c>
      <c r="AE35" s="124" t="str">
        <f>VLOOKUP("Ecuador",T,lang,FALSE)</f>
        <v>Ecuador</v>
      </c>
      <c r="AF35" s="123">
        <f>COUNTIF($S$7:$T$78,"=" &amp; AE35 &amp; "_win")</f>
        <v>3</v>
      </c>
      <c r="AG35" s="123">
        <f>COUNTIF($S$7:$T$78,"=" &amp; AE35 &amp; "_draw")</f>
        <v>0</v>
      </c>
      <c r="AH35" s="123">
        <f>COUNTIF($S$7:$T$78,"=" &amp; AE35 &amp; "_lose")</f>
        <v>0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1</v>
      </c>
      <c r="AL35" s="123">
        <f>AI35-AJ35</f>
        <v>3</v>
      </c>
      <c r="AM35" s="123">
        <f>AL35-AL36</f>
        <v>8</v>
      </c>
      <c r="AN35" s="123">
        <f>AF35*3+AG35</f>
        <v>9</v>
      </c>
      <c r="AO35" s="123">
        <f>AN35/AN36*10+BA35</f>
        <v>9</v>
      </c>
      <c r="AP35" s="123">
        <f>AO35*10000000+BI35*100+AM35/AM36*10+AI35/AI36*1++IF(AQ35=0,ROW(),AQ35)/2000000</f>
        <v>90000009.556352958</v>
      </c>
      <c r="AQ35" s="126">
        <f>VLOOKUP(AE35,db_fifarank,2,FALSE)</f>
        <v>1594.78</v>
      </c>
      <c r="AR35" s="125">
        <f>AP35/AP36</f>
        <v>0.99999998888889019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0 - 5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6</v>
      </c>
      <c r="AL36" s="123">
        <f>MIN(AL32:AL35)</f>
        <v>-5</v>
      </c>
      <c r="AM36" s="123">
        <f>MAX(AM32:AM35)+1</f>
        <v>9</v>
      </c>
      <c r="AN36" s="123">
        <f>MAX(AN32:AN35)+1</f>
        <v>10</v>
      </c>
      <c r="AO36" s="123">
        <f>MAX(AO32:AO35)+1</f>
        <v>10</v>
      </c>
      <c r="AP36" s="123">
        <f>MAX(AP32:AP35)+1</f>
        <v>90000010.556352958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0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Korea Republic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3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3000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0</v>
      </c>
      <c r="AL38" s="123">
        <f>AI38-AJ38</f>
        <v>6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90000009.948930874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Egypt</v>
      </c>
      <c r="BM38" s="61">
        <v>0</v>
      </c>
      <c r="BN38" s="63">
        <v>0</v>
      </c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6 - 0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2</v>
      </c>
      <c r="AL39" s="123">
        <f>AI39-AJ39</f>
        <v>2</v>
      </c>
      <c r="AM39" s="123">
        <f>AL39-AL42</f>
        <v>6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60000006.026804246</v>
      </c>
      <c r="AQ39" s="126">
        <f>VLOOKUP(AE39,db_fifarank,2,FALSE)</f>
        <v>1660.43</v>
      </c>
      <c r="AR39" s="125">
        <f>AP39/AP42</f>
        <v>0.66666665252796831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Korea Republic</v>
      </c>
      <c r="BM39" s="62">
        <v>0</v>
      </c>
      <c r="BN39" s="64">
        <v>1</v>
      </c>
      <c r="BO39" s="27"/>
      <c r="BP39" s="112">
        <f>IF(BP38="","",BM39*1000+BN39*10+BO39)</f>
        <v>10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4 - 2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0</v>
      </c>
      <c r="AJ40" s="123">
        <f>SUMIF($E$7:$E$78,$AE40,$G$7:$G$78) + SUMIF($H$7:$H$78,$AE40,$F$7:$F$78)</f>
        <v>4</v>
      </c>
      <c r="AL40" s="123">
        <f>AI40-AJ40</f>
        <v>-4</v>
      </c>
      <c r="AM40" s="123">
        <f>AL40-AL42</f>
        <v>0</v>
      </c>
      <c r="AN40" s="123">
        <f>AF40*3+AG40</f>
        <v>1</v>
      </c>
      <c r="AO40" s="123">
        <f>AN40/AN42*10+BA40</f>
        <v>1.9803921568627452</v>
      </c>
      <c r="AP40" s="123">
        <f>AO40*10000000+BI40*100+AM40/AM42*10+AI40/AI42*1++IF(AQ40=0,ROW(),AQ40)/2000000</f>
        <v>19804019.608600523</v>
      </c>
      <c r="AQ40" s="126">
        <f>VLOOKUP(AE40,db_fifarank,2,FALSE)</f>
        <v>1514.77</v>
      </c>
      <c r="AR40" s="125">
        <f>AP40/AP42</f>
        <v>0.22004463554830023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</v>
      </c>
      <c r="BA40" s="126">
        <f>AZ40/AZ42</f>
        <v>0.98039215686274506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</v>
      </c>
      <c r="BI40" s="126">
        <f>BH40/BH42</f>
        <v>0.98039215686274506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0 - 4</v>
      </c>
      <c r="P41" s="34">
        <f>L41*3+M41</f>
        <v>1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4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1.9803921568627452</v>
      </c>
      <c r="AP41" s="123">
        <f>AO41*10000000+BI41*100+AM41/AM42*10+AI41/AI42*1++IF(AQ41=0,ROW(),AQ41)/2000000</f>
        <v>19804019.608584665</v>
      </c>
      <c r="AQ41" s="126">
        <f>VLOOKUP(AE41,db_fifarank,2,FALSE)</f>
        <v>1483.05</v>
      </c>
      <c r="AR41" s="125">
        <f>AP41/AP42</f>
        <v>0.22004463554812401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</v>
      </c>
      <c r="BA41" s="126">
        <f>AZ41/AZ42</f>
        <v>0.98039215686274506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</v>
      </c>
      <c r="BI41" s="126">
        <f>BH41/BH42</f>
        <v>0.98039215686274506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0 - 4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-4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90000010.948930874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51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51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0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Uruguay_lose</v>
      </c>
      <c r="T43" s="127" t="str">
        <f t="shared" si="2"/>
        <v>Cape Verde_win</v>
      </c>
      <c r="U43" s="123">
        <f t="shared" si="8"/>
        <v>1</v>
      </c>
      <c r="V43" s="123">
        <f t="shared" si="3"/>
        <v>0</v>
      </c>
      <c r="W43" s="123">
        <f t="shared" si="4"/>
        <v>1</v>
      </c>
      <c r="X43" s="123">
        <f t="shared" si="9"/>
        <v>1</v>
      </c>
      <c r="Y43" s="123">
        <f t="shared" si="10"/>
        <v>0</v>
      </c>
      <c r="Z43" s="123">
        <f t="shared" si="11"/>
        <v>1</v>
      </c>
      <c r="AA43" s="123">
        <f t="shared" si="17"/>
        <v>0</v>
      </c>
      <c r="AB43" s="123">
        <f t="shared" si="6"/>
        <v>-1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1</v>
      </c>
      <c r="AI44" s="123">
        <f>SUMIF($E$7:$E$78,$AE44,$F$7:$F$78) + SUMIF($H$7:$H$78,$AE44,$G$7:$G$78)</f>
        <v>2</v>
      </c>
      <c r="AJ44" s="123">
        <f>SUMIF($E$7:$E$78,$AE44,$G$7:$G$78) + SUMIF($H$7:$H$78,$AE44,$F$7:$F$78)</f>
        <v>1</v>
      </c>
      <c r="AL44" s="123">
        <f>AI44-AJ44</f>
        <v>1</v>
      </c>
      <c r="AM44" s="123">
        <f>AL44-AL48</f>
        <v>4</v>
      </c>
      <c r="AN44" s="123">
        <f>AF44*3+AG44</f>
        <v>6</v>
      </c>
      <c r="AO44" s="123">
        <f>AN44/AN48*10+BA44</f>
        <v>8.5714285714285712</v>
      </c>
      <c r="AP44" s="123">
        <f>AO44*10000000+BI44*100+AM44/AM48*10+AI44/AI48*1++IF(AQ44=0,ROW(),AQ44)/2000000</f>
        <v>85714292.88181974</v>
      </c>
      <c r="AQ44" s="126">
        <f>VLOOKUP(AE44,db_fifarank,2,FALSE)</f>
        <v>1734.71</v>
      </c>
      <c r="AR44" s="125">
        <f>AP44/AP48</f>
        <v>0.89570652327299827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-1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>
        <v>1</v>
      </c>
      <c r="BV44" s="25"/>
      <c r="BW44" s="112">
        <f>IF(OR(BT44="",BT45="",AND(BU44="",BU45&lt;&gt;""),AND(BU45="",BU44&lt;&gt;""),AND(BV44="",BV45&lt;&gt;""),AND(BV45="",BV44&lt;&gt;"")),"",BT44*1000+BU44*10+BV44)</f>
        <v>1010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0</v>
      </c>
      <c r="N45" s="31">
        <f>VLOOKUP(1,AD44:AN47,5,FALSE)</f>
        <v>1</v>
      </c>
      <c r="O45" s="31" t="str">
        <f>VLOOKUP(1,AD44:AN47,6,FALSE) &amp; " - " &amp; VLOOKUP(1,AD44:AN47,7,FALSE)</f>
        <v>3 - 1</v>
      </c>
      <c r="P45" s="32">
        <f>L45*3+M45</f>
        <v>6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1</v>
      </c>
      <c r="AL45" s="123">
        <f>AI45-AJ45</f>
        <v>2</v>
      </c>
      <c r="AM45" s="123">
        <f>AL45-AL48</f>
        <v>5</v>
      </c>
      <c r="AN45" s="123">
        <f>AF45*3+AG45</f>
        <v>6</v>
      </c>
      <c r="AO45" s="123">
        <f>AN45/AN48*10+BA45</f>
        <v>9.5694607131143705</v>
      </c>
      <c r="AP45" s="123">
        <f>AO45*10000000+BI45*100+AM45/AM48*10+AI45/AI48*1++IF(AQ45=0,ROW(),AQ45)/2000000</f>
        <v>95694616.215258658</v>
      </c>
      <c r="AQ45" s="126">
        <f>VLOOKUP(AE45,db_fifarank,2,FALSE)</f>
        <v>1563.24</v>
      </c>
      <c r="AR45" s="125">
        <f>AP45/AP48</f>
        <v>0.99999998955009139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1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1</v>
      </c>
      <c r="AY45" s="126">
        <f>AX45-MIN(AX44:AX47)</f>
        <v>2</v>
      </c>
      <c r="AZ45" s="126">
        <f>AT45/AT48*1000+AU45/AU48*100+AY45/AY48*10+AV45/AV48</f>
        <v>507.16666666666669</v>
      </c>
      <c r="BA45" s="126">
        <f>AZ45/AZ48</f>
        <v>0.99803214168579857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>
        <v>0</v>
      </c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0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2 - 1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Zealand_win</v>
      </c>
      <c r="T46" s="127" t="str">
        <f t="shared" si="2"/>
        <v>Egypt_lose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1.4351309562854331</v>
      </c>
      <c r="AP46" s="123">
        <f>AO46*10000000+BI46*100+AM46/AM48*10+AI46/AI48*1++IF(AQ46=0,ROW(),AQ46)/2000000</f>
        <v>14351309.813661981</v>
      </c>
      <c r="AQ46" s="126">
        <f>VLOOKUP(AE46,db_fifarank,2,FALSE)</f>
        <v>1615.3</v>
      </c>
      <c r="AR46" s="125">
        <f>AP46/AP48</f>
        <v>0.14996987533143757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1</v>
      </c>
      <c r="AZ46" s="126">
        <f>AT46/AT48*1000+AU46/AU48*100+AY46/AY48*10+AV46/AV48</f>
        <v>3.333333333333333</v>
      </c>
      <c r="BA46" s="126">
        <f>AZ46/AZ48</f>
        <v>6.5595277140045906E-3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Germany</v>
      </c>
      <c r="BM46" s="61">
        <v>0</v>
      </c>
      <c r="BN46" s="63">
        <v>0</v>
      </c>
      <c r="BO46" s="25">
        <v>0</v>
      </c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2 - 2</v>
      </c>
      <c r="P47" s="34">
        <f>L47*3+M47</f>
        <v>4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1</v>
      </c>
      <c r="AH47" s="123">
        <f>COUNTIF($S$7:$T$78,"=" &amp; AE47 &amp; "_lose")</f>
        <v>1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2</v>
      </c>
      <c r="AL47" s="123">
        <f>AI47-AJ47</f>
        <v>0</v>
      </c>
      <c r="AM47" s="123">
        <f>AL47-AL48</f>
        <v>3</v>
      </c>
      <c r="AN47" s="123">
        <f>AF47*3+AG47</f>
        <v>4</v>
      </c>
      <c r="AO47" s="123">
        <f>AN47/AN48*10+BA47</f>
        <v>5.7208452419997178</v>
      </c>
      <c r="AP47" s="123">
        <f>AO47*10000000+BI47*100+AM47/AM48*10+AI47/AI48*1++IF(AQ47=0,ROW(),AQ47)/2000000</f>
        <v>57208457.920637965</v>
      </c>
      <c r="AQ47" s="126">
        <f>VLOOKUP(AE47,db_fifarank,2,FALSE)</f>
        <v>1281.57</v>
      </c>
      <c r="AR47" s="125">
        <f>AP47/AP48</f>
        <v>0.59782315437817524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1</v>
      </c>
      <c r="AZ47" s="126">
        <f>AT47/AT48*1000+AU47/AU48*100+AY47/AY48*10+AV47/AV48</f>
        <v>3.333333333333333</v>
      </c>
      <c r="BA47" s="126">
        <f>AZ47/AZ48</f>
        <v>6.5595277140045906E-3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0</v>
      </c>
      <c r="BN47" s="64">
        <v>0</v>
      </c>
      <c r="BO47" s="27">
        <v>1</v>
      </c>
      <c r="BP47" s="112">
        <f>IF(BP46="","",BM47*1000+BN47*10+BO47)</f>
        <v>1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1 - 4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2</v>
      </c>
      <c r="AI48" s="123">
        <f>MAX(AI44:AI47)+1</f>
        <v>4</v>
      </c>
      <c r="AL48" s="123">
        <f>MIN(AL44:AL47)</f>
        <v>-3</v>
      </c>
      <c r="AM48" s="123">
        <f>MAX(AM44:AM47)+1</f>
        <v>6</v>
      </c>
      <c r="AN48" s="123">
        <f>MAX(AN44:AN47)+1</f>
        <v>7</v>
      </c>
      <c r="AO48" s="123">
        <f>MAX(AO44:AO47)+1</f>
        <v>10.569460713114371</v>
      </c>
      <c r="AP48" s="123">
        <f>MAX(AP44:AP47)+1</f>
        <v>95694617.215258658</v>
      </c>
      <c r="AT48" s="126">
        <f>MAX(AT44:AT47)-MIN(AT44:AT47)+1</f>
        <v>2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3</v>
      </c>
      <c r="AZ48" s="126">
        <f>MAX(AZ44:AZ47)+1</f>
        <v>508.16666666666669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>
        <v>1</v>
      </c>
      <c r="CC48" s="25"/>
      <c r="CD48" s="112">
        <f>IF(OR(CA48="",CA49="",AND(CB48="",CB49&lt;&gt;""),AND(CB49="",CB48&lt;&gt;""),AND(CC48="",CC49&lt;&gt;""),AND(CC49="",CC48&lt;&gt;"")),"",CA48*1000+CB48*10+CC48)</f>
        <v>1010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>
        <v>0</v>
      </c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90000010.056493774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0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5</v>
      </c>
      <c r="AL51" s="123">
        <f>AI51-AJ51</f>
        <v>-4</v>
      </c>
      <c r="AM51" s="123">
        <f>AL51-AL54</f>
        <v>0</v>
      </c>
      <c r="AN51" s="123">
        <f>AF51*3+AG51</f>
        <v>3</v>
      </c>
      <c r="AO51" s="123">
        <f>AN51/AN54*10+BA51</f>
        <v>3.9980059820538383</v>
      </c>
      <c r="AP51" s="123">
        <f>AO51*10000000+BI51*100+AM51/AM54*10+AI51/AI54*1++IF(AQ51=0,ROW(),AQ51)/2000000</f>
        <v>39980159.732930757</v>
      </c>
      <c r="AQ51" s="126">
        <f>VLOOKUP(AE51,db_fifarank,2,FALSE)</f>
        <v>1366.13</v>
      </c>
      <c r="AR51" s="125">
        <f>AP51/AP54</f>
        <v>0.44422394245968339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1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500.5</v>
      </c>
      <c r="BA51" s="126">
        <f>AZ51/AZ54</f>
        <v>0.9980059820538385</v>
      </c>
      <c r="BB51" s="126" cm="1">
        <f t="array" ref="BB51">SUMPRODUCT(($S$7:$S$78=AE51&amp;"_win")*($X$7:$X$78))+SUMPRODUCT(($T$7:$T$78=AE51&amp;"_win")*($X$7:$X$78))</f>
        <v>1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500.5</v>
      </c>
      <c r="BI51" s="126">
        <f>BH51/BH54</f>
        <v>0.9980059820538385</v>
      </c>
      <c r="BK51" s="142"/>
      <c r="BL51" s="26" t="str">
        <f>IF(group_round_completed,VLOOKUP('3rd places'!D3,AK80:AS91,9,FALSE),"3rd Group C/E/F/H/I")</f>
        <v>Ivory Coast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0</v>
      </c>
      <c r="N52" s="23">
        <f>VLOOKUP(2,AD50:AN53,5,FALSE)</f>
        <v>2</v>
      </c>
      <c r="O52" s="23" t="str">
        <f>VLOOKUP(2,AD50:AN53,6,FALSE) &amp; " - " &amp; VLOOKUP(2,AD50:AN53,7,FALSE)</f>
        <v>2 - 3</v>
      </c>
      <c r="P52" s="34">
        <f>L52*3+M52</f>
        <v>3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3</v>
      </c>
      <c r="AL52" s="123">
        <f>AI52-AJ52</f>
        <v>-2</v>
      </c>
      <c r="AM52" s="123">
        <f>AL52-AL54</f>
        <v>2</v>
      </c>
      <c r="AN52" s="123">
        <f>AF52*3+AG52</f>
        <v>3</v>
      </c>
      <c r="AO52" s="123">
        <f>AN52/AN54*10+BA52</f>
        <v>3.9980059820538383</v>
      </c>
      <c r="AP52" s="123">
        <f>AO52*10000000+BI52*100+AM52/AM54*10+AI52/AI54*1++IF(AQ52=0,ROW(),AQ52)/2000000</f>
        <v>39980161.399625078</v>
      </c>
      <c r="AQ52" s="126">
        <f>VLOOKUP(AE52,db_fifarank,2,FALSE)</f>
        <v>1421.43</v>
      </c>
      <c r="AR52" s="125">
        <f>AP52/AP54</f>
        <v>0.44422396097850686</v>
      </c>
      <c r="AT52" s="126" cm="1">
        <f t="array" ref="AT52">SUMPRODUCT(($S$7:$S$78=AE52&amp;"_win")*($U$7:$U$78))+SUMPRODUCT(($T$7:$T$78=AE52&amp;"_win")*($U$7:$U$78))</f>
        <v>1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500.5</v>
      </c>
      <c r="BA52" s="126">
        <f>AZ52/AZ54</f>
        <v>0.9980059820538385</v>
      </c>
      <c r="BB52" s="126" cm="1">
        <f t="array" ref="BB52">SUMPRODUCT(($S$7:$S$78=AE52&amp;"_win")*($X$7:$X$78))+SUMPRODUCT(($T$7:$T$78=AE52&amp;"_win")*($X$7:$X$78))</f>
        <v>1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500.5</v>
      </c>
      <c r="BI52" s="126">
        <f>BH52/BH54</f>
        <v>0.9980059820538385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Ivory Coast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1 - 3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0</v>
      </c>
      <c r="AH53" s="123">
        <f>COUNTIF($S$7:$T$78,"=" &amp; AE53 &amp; "_lose")</f>
        <v>2</v>
      </c>
      <c r="AI53" s="123">
        <f>SUMIF($E$7:$E$78,$AE53,$F$7:$F$78) + SUMIF($H$7:$H$78,$AE53,$G$7:$G$78)</f>
        <v>2</v>
      </c>
      <c r="AJ53" s="123">
        <f>SUMIF($E$7:$E$78,$AE53,$G$7:$G$78) + SUMIF($H$7:$H$78,$AE53,$F$7:$F$78)</f>
        <v>3</v>
      </c>
      <c r="AL53" s="123">
        <f>AI53-AJ53</f>
        <v>-1</v>
      </c>
      <c r="AM53" s="123">
        <f>AL53-AL54</f>
        <v>3</v>
      </c>
      <c r="AN53" s="123">
        <f>AF53*3+AG53</f>
        <v>3</v>
      </c>
      <c r="AO53" s="123">
        <f>AN53/AN54*10+BA53</f>
        <v>3.9980059820538383</v>
      </c>
      <c r="AP53" s="123">
        <f>AO53*10000000+BI53*100+AM53/AM54*10+AI53/AI54*1++IF(AQ53=0,ROW(),AQ53)/2000000</f>
        <v>39980162.344195344</v>
      </c>
      <c r="AQ53" s="126">
        <f>VLOOKUP(AE53,db_fifarank,2,FALSE)</f>
        <v>1673.07</v>
      </c>
      <c r="AR53" s="125">
        <f>AP53/AP54</f>
        <v>0.44422397147373077</v>
      </c>
      <c r="AT53" s="126" cm="1">
        <f t="array" ref="AT53">SUMPRODUCT(($S$7:$S$78=AE53&amp;"_win")*($U$7:$U$78))+SUMPRODUCT(($T$7:$T$78=AE53&amp;"_win")*($U$7:$U$78))</f>
        <v>1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500.5</v>
      </c>
      <c r="BA53" s="126">
        <f>AZ53/AZ54</f>
        <v>0.9980059820538385</v>
      </c>
      <c r="BB53" s="126" cm="1">
        <f t="array" ref="BB53">SUMPRODUCT(($S$7:$S$78=AE53&amp;"_win")*($X$7:$X$78))+SUMPRODUCT(($T$7:$T$78=AE53&amp;"_win")*($X$7:$X$78))</f>
        <v>1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500.5</v>
      </c>
      <c r="BI53" s="126">
        <f>BH53/BH54</f>
        <v>0.9980059820538385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1</v>
      </c>
      <c r="M54" s="36">
        <f>VLOOKUP(4,AD50:AN53,4,FALSE)</f>
        <v>0</v>
      </c>
      <c r="N54" s="36">
        <f>VLOOKUP(4,AD50:AN53,5,FALSE)</f>
        <v>2</v>
      </c>
      <c r="O54" s="36" t="str">
        <f>VLOOKUP(4,AD50:AN53,6,FALSE) &amp; " - " &amp; VLOOKUP(4,AD50:AN53,7,FALSE)</f>
        <v>1 - 5</v>
      </c>
      <c r="P54" s="37">
        <f>L54*3+M54</f>
        <v>3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1</v>
      </c>
      <c r="AH54" s="123">
        <f t="shared" si="25"/>
        <v>3</v>
      </c>
      <c r="AI54" s="123">
        <f>MAX(AI50:AI53)+1</f>
        <v>9</v>
      </c>
      <c r="AL54" s="123">
        <f>MIN(AL50:AL53)</f>
        <v>-4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90000011.056493774</v>
      </c>
      <c r="AT54" s="126">
        <f>MAX(AT50:AT53)-MIN(AT50:AT53)+1</f>
        <v>2</v>
      </c>
      <c r="AU54" s="126">
        <f>MAX(AU50:AU53)-MIN(AU50:AU53)+1</f>
        <v>1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501.5</v>
      </c>
      <c r="BB54" s="126">
        <f>MAX(BB50:BB53)-MIN(BB50:BB53)+1</f>
        <v>2</v>
      </c>
      <c r="BC54" s="126">
        <f>MAX(BC50:BC53)-MIN(BC50:BC53)+1</f>
        <v>1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501.5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1</v>
      </c>
      <c r="CI55" s="63">
        <v>0</v>
      </c>
      <c r="CJ55" s="25">
        <v>0</v>
      </c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2</v>
      </c>
      <c r="AL56" s="123">
        <f>AI56-AJ56</f>
        <v>7</v>
      </c>
      <c r="AM56" s="123">
        <f>AL56-AL60</f>
        <v>16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90000010.312703371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>
        <v>0</v>
      </c>
      <c r="CJ56" s="27">
        <v>1</v>
      </c>
      <c r="CK56" s="112">
        <f>IF(CK55="","",CH56*1000+CI56*10+CJ56)</f>
        <v>1001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0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9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30000005.69496214</v>
      </c>
      <c r="AQ57" s="126">
        <f>VLOOKUP(AE57,db_fifarank,2,FALSE)</f>
        <v>1688.99</v>
      </c>
      <c r="AR57" s="125">
        <f>AP57/AP60</f>
        <v>0.33333335471178638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4 - 2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10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0.10072357000000001</v>
      </c>
      <c r="AQ58" s="126">
        <f>VLOOKUP(AE58,db_fifarank,2,FALSE)</f>
        <v>1447.14</v>
      </c>
      <c r="AR58" s="125">
        <f>AP58/AP60</f>
        <v>1.1191506371042315E-9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2</v>
      </c>
      <c r="AL59" s="123">
        <f>AI59-AJ59</f>
        <v>2</v>
      </c>
      <c r="AM59" s="123">
        <f>AL59-AL60</f>
        <v>11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60000006.871363707</v>
      </c>
      <c r="AQ59" s="126">
        <f>VLOOKUP(AE59,db_fifarank,2,FALSE)</f>
        <v>1550.94</v>
      </c>
      <c r="AR59" s="125">
        <f>AP59/AP60</f>
        <v>0.66666665921735047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1 - 10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-9</v>
      </c>
      <c r="AM60" s="123">
        <f>MAX(AM56:AM59)+1</f>
        <v>17</v>
      </c>
      <c r="AN60" s="123">
        <f>MAX(AN56:AN59)+1</f>
        <v>10</v>
      </c>
      <c r="AO60" s="123">
        <f>MAX(AO56:AO59)+1</f>
        <v>10</v>
      </c>
      <c r="AP60" s="123">
        <f>MAX(AP56:AP59)+1</f>
        <v>90000011.312703371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Belgium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0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90000009.858080268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2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3</v>
      </c>
      <c r="AL63" s="123">
        <f>AI63-AJ63</f>
        <v>1</v>
      </c>
      <c r="AM63" s="123">
        <f>AL63-AL66</f>
        <v>5</v>
      </c>
      <c r="AN63" s="123">
        <f>AF63*3+AG63</f>
        <v>6</v>
      </c>
      <c r="AO63" s="123">
        <f>AN63/AN66*10+BA63</f>
        <v>6</v>
      </c>
      <c r="AP63" s="123">
        <f>AO63*10000000+BI63*100+AM63/AM66*10+AI63/AI66*1++IF(AQ63=0,ROW(),AQ63)/2000000</f>
        <v>60000005.572210707</v>
      </c>
      <c r="AQ63" s="126">
        <f>VLOOKUP(AE63,db_fifarank,2,FALSE)</f>
        <v>1564.26</v>
      </c>
      <c r="AR63" s="125">
        <f>AP63/AP66</f>
        <v>0.66666664814989696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Belgium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4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1</v>
      </c>
      <c r="AH64" s="123">
        <f>COUNTIF($S$7:$T$78,"=" &amp; AE64 &amp; "_lose")</f>
        <v>2</v>
      </c>
      <c r="AI64" s="123">
        <f>SUMIF($E$7:$E$78,$AE64,$F$7:$F$78) + SUMIF($H$7:$H$78,$AE64,$G$7:$G$78)</f>
        <v>0</v>
      </c>
      <c r="AJ64" s="123">
        <f>SUMIF($E$7:$E$78,$AE64,$G$7:$G$78) + SUMIF($H$7:$H$78,$AE64,$F$7:$F$78)</f>
        <v>4</v>
      </c>
      <c r="AL64" s="123">
        <f>AI64-AJ64</f>
        <v>-4</v>
      </c>
      <c r="AM64" s="123">
        <f>AL64-AL66</f>
        <v>0</v>
      </c>
      <c r="AN64" s="123">
        <f>AF64*3+AG64</f>
        <v>1</v>
      </c>
      <c r="AO64" s="123">
        <f>AN64/AN66*10+BA64</f>
        <v>1.9803921568627452</v>
      </c>
      <c r="AP64" s="123">
        <f>AO64*10000000+BI64*100+AM64/AM66*10+AI64/AI66*1++IF(AQ64=0,ROW(),AQ64)/2000000</f>
        <v>19804019.608639862</v>
      </c>
      <c r="AQ64" s="126">
        <f>VLOOKUP(AE64,db_fifarank,2,FALSE)</f>
        <v>1593.45</v>
      </c>
      <c r="AR64" s="125">
        <f>AP64/AP66</f>
        <v>0.22004463577086161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</v>
      </c>
      <c r="BA64" s="126">
        <f>AZ64/AZ66</f>
        <v>0.98039215686274506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</v>
      </c>
      <c r="BI64" s="126">
        <f>BH64/BH66</f>
        <v>0.98039215686274506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>
        <v>0</v>
      </c>
      <c r="CC64" s="25">
        <v>1</v>
      </c>
      <c r="CD64" s="116">
        <f>IF(OR(CA64="",CA65="",AND(CB64="",CB65&lt;&gt;""),AND(CB65="",CB64&lt;&gt;""),AND(CC64="",CC65&lt;&gt;""),AND(CC65="",CC64&lt;&gt;"")),"",CA64*1000+CB64*10+CC64)</f>
        <v>2001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2 - 4</v>
      </c>
      <c r="P65" s="34">
        <f>L65*3+M65</f>
        <v>1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4</v>
      </c>
      <c r="AL65" s="123">
        <f>AI65-AJ65</f>
        <v>-2</v>
      </c>
      <c r="AM65" s="123">
        <f>AL65-AL66</f>
        <v>2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19804021.89425315</v>
      </c>
      <c r="AQ65" s="126">
        <f>VLOOKUP(AE65,db_fifarank,2,FALSE)</f>
        <v>1391.45</v>
      </c>
      <c r="AR65" s="125">
        <f>AP65/AP66</f>
        <v>0.22004466116656174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>
        <v>0</v>
      </c>
      <c r="CC65" s="27">
        <v>0</v>
      </c>
      <c r="CD65" s="112">
        <f>IF(CD64="","",CA65*1000+CB65*10+CC65)</f>
        <v>2000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Austria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0 - 4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7</v>
      </c>
      <c r="AL66" s="123">
        <f>MIN(AL62:AL65)</f>
        <v>-4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90000010.858080268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41">
        <v>85</v>
      </c>
      <c r="BL66" s="24" t="str">
        <f>AS14</f>
        <v>Canada</v>
      </c>
      <c r="BM66" s="61">
        <v>1</v>
      </c>
      <c r="BN66" s="63">
        <v>1</v>
      </c>
      <c r="BO66" s="25"/>
      <c r="BP66" s="112">
        <f>IF(OR(BM66="",BM67="",AND(BN66="",BN67&lt;&gt;""),AND(BN67="",BN66&lt;&gt;""),AND(BO66="",BO67&lt;&gt;""),AND(BO67="",BO66&lt;&gt;"")),"",BM66*1000+BN66*10+BO66)</f>
        <v>1010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New Zealand</v>
      </c>
      <c r="BM67" s="62">
        <v>1</v>
      </c>
      <c r="BN67" s="64">
        <v>0</v>
      </c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3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0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90000010.106651142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7 - 0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4</v>
      </c>
      <c r="AL69" s="123">
        <f>AI69-AJ69</f>
        <v>-4</v>
      </c>
      <c r="AM69" s="123">
        <f>AL69-AL72</f>
        <v>1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19804020.377813082</v>
      </c>
      <c r="AQ69" s="126">
        <f>VLOOKUP(AE69,db_fifarank,2,FALSE)</f>
        <v>1478.35</v>
      </c>
      <c r="AR69" s="125">
        <f>AP69/AP72</f>
        <v>0.22004464370948876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19804019.73357581</v>
      </c>
      <c r="AQ70" s="126">
        <f>VLOOKUP(AE70,db_fifarank,2,FALSE)</f>
        <v>1465.34</v>
      </c>
      <c r="AR70" s="125">
        <f>AP70/AP72</f>
        <v>0.22004463655129775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0 - 4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1</v>
      </c>
      <c r="V71" s="123">
        <f t="shared" si="21"/>
        <v>0</v>
      </c>
      <c r="W71" s="123">
        <f t="shared" si="22"/>
        <v>1</v>
      </c>
      <c r="X71" s="123">
        <f t="shared" si="9"/>
        <v>1</v>
      </c>
      <c r="Y71" s="123">
        <f t="shared" si="10"/>
        <v>0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60000005.885461926</v>
      </c>
      <c r="AQ71" s="126">
        <f>VLOOKUP(AE71,db_fifarank,2,FALSE)</f>
        <v>1693.09</v>
      </c>
      <c r="AR71" s="125">
        <f>AP71/AP72</f>
        <v>0.66666664978920021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Croatia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90000011.106651142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0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Panama_draw</v>
      </c>
      <c r="T73" s="127" t="str">
        <f t="shared" si="20"/>
        <v>England_draw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0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0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1</v>
      </c>
      <c r="AL74" s="123">
        <f>AI74-AJ74</f>
        <v>3</v>
      </c>
      <c r="AM74" s="123">
        <f>AL74-AL78</f>
        <v>5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87500009.134246305</v>
      </c>
      <c r="AQ74" s="126">
        <f>VLOOKUP(AE74,db_fifarank,2,FALSE)</f>
        <v>1825.97</v>
      </c>
      <c r="AR74" s="125">
        <f>AP74/AP78</f>
        <v>0.99999998857142991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2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4 - 1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0</v>
      </c>
      <c r="AH75" s="123">
        <f>COUNTIF($S$7:$T$78,"=" &amp; AE75 &amp; "_lose")</f>
        <v>2</v>
      </c>
      <c r="AI75" s="123">
        <f>SUMIF($E$7:$E$78,$AE75,$F$7:$F$78) + SUMIF($H$7:$H$78,$AE75,$G$7:$G$78)</f>
        <v>1</v>
      </c>
      <c r="AJ75" s="123">
        <f>SUMIF($E$7:$E$78,$AE75,$G$7:$G$78) + SUMIF($H$7:$H$78,$AE75,$F$7:$F$78)</f>
        <v>3</v>
      </c>
      <c r="AL75" s="123">
        <f>AI75-AJ75</f>
        <v>-2</v>
      </c>
      <c r="AM75" s="123">
        <f>AL75-AL78</f>
        <v>0</v>
      </c>
      <c r="AN75" s="123">
        <f>AF75*3+AG75</f>
        <v>3</v>
      </c>
      <c r="AO75" s="123">
        <f>AN75/AN78*10+BA75</f>
        <v>3.75</v>
      </c>
      <c r="AP75" s="123">
        <f>AO75*10000000+BI75*100+AM75/AM78*10+AI75/AI78*1++IF(AQ75=0,ROW(),AQ75)/2000000</f>
        <v>37500000.200858541</v>
      </c>
      <c r="AQ75" s="126">
        <f>VLOOKUP(AE75,db_fifarank,2,FALSE)</f>
        <v>1717.07</v>
      </c>
      <c r="AR75" s="125">
        <f>AP75/AP78</f>
        <v>0.42857138122983546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2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3 - 3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2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50000003.93400649</v>
      </c>
      <c r="AQ76" s="126">
        <f>VLOOKUP(AE76,db_fifarank,2,FALSE)</f>
        <v>1346.31</v>
      </c>
      <c r="AR76" s="125">
        <f>AP76/AP78</f>
        <v>0.57142855020581507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1 - 3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2</v>
      </c>
      <c r="AH77" s="123">
        <f>COUNTIF($S$7:$T$78,"=" &amp; AE77 &amp; "_lose")</f>
        <v>1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2</v>
      </c>
      <c r="AL77" s="123">
        <f>AI77-AJ77</f>
        <v>-1</v>
      </c>
      <c r="AM77" s="123">
        <f>AL77-AL78</f>
        <v>1</v>
      </c>
      <c r="AN77" s="123">
        <f>AF77*3+AG77</f>
        <v>2</v>
      </c>
      <c r="AO77" s="123">
        <f>AN77/AN78*10+BA77</f>
        <v>2.5</v>
      </c>
      <c r="AP77" s="123">
        <f>AO77*10000000+BI77*100+AM77/AM78*10+AI77/AI78*1++IF(AQ77=0,ROW(),AQ77)/2000000</f>
        <v>25000001.867436986</v>
      </c>
      <c r="AQ77" s="126">
        <f>VLOOKUP(AE77,db_fifarank,2,FALSE)</f>
        <v>1540.64</v>
      </c>
      <c r="AR77" s="125">
        <f>AP77/AP78</f>
        <v>0.28571427396500754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2</v>
      </c>
      <c r="N78" s="36">
        <f>VLOOKUP(4,AD74:AN77,5,FALSE)</f>
        <v>1</v>
      </c>
      <c r="O78" s="36" t="str">
        <f>VLOOKUP(4,AD74:AN77,6,FALSE) &amp; " - " &amp; VLOOKUP(4,AD74:AN77,7,FALSE)</f>
        <v>1 - 2</v>
      </c>
      <c r="P78" s="37">
        <f>L78*3+M78</f>
        <v>2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3</v>
      </c>
      <c r="AI78" s="123">
        <f>MAX(AI74:AI77)+1</f>
        <v>5</v>
      </c>
      <c r="AL78" s="123">
        <f>MIN(AL74:AL77)</f>
        <v>-2</v>
      </c>
      <c r="AM78" s="123">
        <f>MAX(AM74:AM77)+1</f>
        <v>6</v>
      </c>
      <c r="AN78" s="123">
        <f>MAX(AN74:AN77)+1</f>
        <v>8</v>
      </c>
      <c r="AO78" s="123">
        <f>MAX(AO74:AO77)+1</f>
        <v>9.75</v>
      </c>
      <c r="AP78" s="123">
        <f>MAX(AP74:AP77)+1</f>
        <v>87500010.134246305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1</v>
      </c>
      <c r="AJ80" s="123">
        <f>VLOOKUP($AE80,$AE$8:$AQ$78,6,FALSE)</f>
        <v>1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6820.0007943299997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Ⓖ New Zealand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2 - 2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4640.00072748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4 - 4</v>
      </c>
      <c r="P82" s="101">
        <f t="shared" ref="P82:P92" si="48">L82*3+M82</f>
        <v>3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1</v>
      </c>
      <c r="AJ82" s="123">
        <f t="shared" si="42"/>
        <v>4</v>
      </c>
      <c r="AK82" s="123" t="s">
        <v>3182</v>
      </c>
      <c r="AL82" s="123">
        <f t="shared" si="43"/>
        <v>-3</v>
      </c>
      <c r="AM82" s="123">
        <f t="shared" si="44"/>
        <v>1</v>
      </c>
      <c r="AN82" s="123">
        <f t="shared" si="45"/>
        <v>3</v>
      </c>
      <c r="AP82" s="123">
        <f>AN82/AN92*10000+AM82/AM92*1000+AI82/AI92*100+IF(AQ82=0,ROW(),AQ82)/2000000</f>
        <v>6220.0007491750002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Ⓐ Korea Republic</v>
      </c>
      <c r="K83" s="100">
        <f t="shared" si="47"/>
        <v>3</v>
      </c>
      <c r="L83" s="100">
        <f>VLOOKUP(3,$AD$80:$AN$91,3,FALSE)</f>
        <v>0</v>
      </c>
      <c r="M83" s="100">
        <f>VLOOKUP(3,$AD$80:$AN$91,4,FALSE)</f>
        <v>3</v>
      </c>
      <c r="N83" s="100">
        <f>VLOOKUP(3,$AD$80:$AN$91,5,FALSE)</f>
        <v>0</v>
      </c>
      <c r="O83" s="100" t="str">
        <f>VLOOKUP(3,$AD$80:$AN$91,6,FALSE) &amp; " - " &amp; VLOOKUP(3,$AD$80:$AN$91,7,FALSE)</f>
        <v>1 - 1</v>
      </c>
      <c r="P83" s="101">
        <f t="shared" si="48"/>
        <v>3</v>
      </c>
      <c r="AD83" s="123">
        <f t="shared" si="38"/>
        <v>9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0</v>
      </c>
      <c r="AJ83" s="123">
        <f t="shared" si="42"/>
        <v>2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2</v>
      </c>
      <c r="AP83" s="123">
        <f>AN83/AN92*10000+AM83/AM92*1000+AI83/AI92*100+IF(AQ83=0,ROW(),AQ83)/2000000</f>
        <v>4400.0007903349997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7" t="str" cm="1">
        <f t="array" ref="T84">IF(OR(S84="",S84="draw"),INDEX(T,86,lang),S84)</f>
        <v>Ecuador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4</v>
      </c>
      <c r="AJ84" s="123">
        <f t="shared" si="42"/>
        <v>5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6680.0007664900004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Ⓛ Croatia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1 - 3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0</v>
      </c>
      <c r="AJ85" s="123">
        <f t="shared" si="42"/>
        <v>4</v>
      </c>
      <c r="AK85" s="123" t="s">
        <v>3186</v>
      </c>
      <c r="AL85" s="123">
        <f t="shared" si="43"/>
        <v>-4</v>
      </c>
      <c r="AM85" s="123">
        <f t="shared" si="44"/>
        <v>0</v>
      </c>
      <c r="AN85" s="123">
        <f t="shared" si="45"/>
        <v>1</v>
      </c>
      <c r="AP85" s="123">
        <f>AN85/AN92*10000+AM85/AM92*1000+AI85/AI92*100+IF(AQ85=0,ROW(),AQ85)/2000000</f>
        <v>2000.000757385</v>
      </c>
      <c r="AQ85" s="126">
        <f t="shared" si="37"/>
        <v>1514.77</v>
      </c>
      <c r="AR85" s="125" t="str">
        <f t="shared" si="50"/>
        <v>ABCE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1 - 3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</v>
      </c>
      <c r="AE86" s="124" t="str">
        <f>J47</f>
        <v>New Zealand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2</v>
      </c>
      <c r="AK86" s="123" t="s">
        <v>3187</v>
      </c>
      <c r="AL86" s="123">
        <f t="shared" si="43"/>
        <v>0</v>
      </c>
      <c r="AM86" s="123">
        <f t="shared" si="44"/>
        <v>4</v>
      </c>
      <c r="AN86" s="123">
        <f t="shared" si="45"/>
        <v>4</v>
      </c>
      <c r="AP86" s="123">
        <f>AN86/AN92*10000+AM86/AM92*1000+AI86/AI92*100+IF(AQ86=0,ROW(),AQ86)/2000000</f>
        <v>8840.0006407849996</v>
      </c>
      <c r="AQ86" s="126">
        <f t="shared" si="37"/>
        <v>1281.57</v>
      </c>
      <c r="AR86" s="125" t="str">
        <f t="shared" si="50"/>
        <v>ABCEG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3</v>
      </c>
      <c r="AK87" s="123" t="s">
        <v>3188</v>
      </c>
      <c r="AL87" s="123">
        <f t="shared" si="43"/>
        <v>-2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6420.0007107150004</v>
      </c>
      <c r="AQ87" s="126">
        <f t="shared" si="37"/>
        <v>1421.43</v>
      </c>
      <c r="AR87" s="125" t="str">
        <f t="shared" si="50"/>
        <v>ABCEGH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Ⓑ Qatar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2 - 3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South Africa</v>
      </c>
      <c r="T88" s="127" t="str" cm="1">
        <f t="array" ref="T88">IF(OR(S88="",S88="draw"),INDEX(T,90,lang),S88)</f>
        <v>South Africa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6880.0008444949999</v>
      </c>
      <c r="AQ88" s="126">
        <f t="shared" si="37"/>
        <v>1688.99</v>
      </c>
      <c r="AR88" s="125" t="str">
        <f t="shared" si="50"/>
        <v>ABCEGHI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Australia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0 - 2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10</v>
      </c>
      <c r="AE89" s="124" t="str">
        <f>J65</f>
        <v>Jordan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1</v>
      </c>
      <c r="AP89" s="123">
        <f>AN89/AN92*10000+AM89/AM92*1000+AI89/AI92*100+IF(AQ89=0,ROW(),AQ89)/2000000</f>
        <v>2440.0006957249998</v>
      </c>
      <c r="AQ89" s="126">
        <f t="shared" si="37"/>
        <v>1391.45</v>
      </c>
      <c r="AR89" s="125" t="str">
        <f t="shared" si="50"/>
        <v>ABCEGHI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Jordan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2 - 4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4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2000.000739175</v>
      </c>
      <c r="AQ90" s="126">
        <f t="shared" si="37"/>
        <v>1478.35</v>
      </c>
      <c r="AR90" s="125" t="str">
        <f t="shared" si="50"/>
        <v>ABCEGHI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Sweden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0 - 4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Korea Republic</v>
      </c>
      <c r="T91" s="127" t="str" cm="1">
        <f t="array" ref="T91">IF(OR(S91="",S91="draw"),INDEX(T,93,lang),S91)</f>
        <v>Korea Republic</v>
      </c>
      <c r="AD91" s="123">
        <f t="shared" si="38"/>
        <v>5</v>
      </c>
      <c r="AE91" s="124" t="str">
        <f>J77</f>
        <v>Croatia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3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6420.0008585349997</v>
      </c>
      <c r="AQ91" s="126">
        <f t="shared" si="37"/>
        <v>1717.07</v>
      </c>
      <c r="AR91" s="125" t="str">
        <f t="shared" si="50"/>
        <v>ABCEGHIL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403</v>
      </c>
      <c r="C3" s="121" t="str">
        <f>'2026 World Cup'!AR91</f>
        <v>ABCEGHIL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553ACE-DA3B-4DC7-840A-BFB6F12A1B57}"/>
</file>

<file path=customXml/itemProps2.xml><?xml version="1.0" encoding="utf-8"?>
<ds:datastoreItem xmlns:ds="http://schemas.openxmlformats.org/officeDocument/2006/customXml" ds:itemID="{69C4C474-1914-4F9F-AB93-32002F73BA23}"/>
</file>

<file path=customXml/itemProps3.xml><?xml version="1.0" encoding="utf-8"?>
<ds:datastoreItem xmlns:ds="http://schemas.openxmlformats.org/officeDocument/2006/customXml" ds:itemID="{EF15E6CE-6C05-42CC-A2BA-CB03B4F54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2026-06-11T12:21:56Z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