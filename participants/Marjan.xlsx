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8239AC1C-0609-463B-AC14-EDB3F2FE6384}" xr6:coauthVersionLast="47" xr6:coauthVersionMax="47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T25" i="3"/>
  <c r="S47" i="3"/>
  <c r="S67" i="3"/>
  <c r="S72" i="3"/>
  <c r="T46" i="3"/>
  <c r="S70" i="3"/>
  <c r="S42" i="3"/>
  <c r="S64" i="3"/>
  <c r="T18" i="3"/>
  <c r="T41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11" i="3"/>
  <c r="AR70" i="3"/>
  <c r="AR10" i="3"/>
  <c r="AR69" i="3"/>
  <c r="AR35" i="3"/>
  <c r="AR71" i="3"/>
  <c r="AR9" i="3"/>
  <c r="AD57" i="3"/>
  <c r="AR33" i="3"/>
  <c r="AR34" i="3"/>
  <c r="AD34" i="3" s="1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9" i="3" l="1"/>
  <c r="AD68" i="3"/>
  <c r="N69" i="3" s="1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O71" i="3" l="1"/>
  <c r="O69" i="3"/>
  <c r="M71" i="3"/>
  <c r="O36" i="3"/>
  <c r="J33" i="3"/>
  <c r="AS32" i="3" s="1"/>
  <c r="BL10" i="3" s="1"/>
  <c r="N35" i="3"/>
  <c r="J36" i="3"/>
  <c r="M70" i="3"/>
  <c r="N36" i="3"/>
  <c r="M35" i="3"/>
  <c r="O34" i="3"/>
  <c r="J69" i="3"/>
  <c r="AS68" i="3" s="1"/>
  <c r="BL70" i="3" s="1"/>
  <c r="M69" i="3"/>
  <c r="L69" i="3"/>
  <c r="J71" i="3"/>
  <c r="AE90" i="3" s="1"/>
  <c r="AQ90" i="3" s="1"/>
  <c r="M72" i="3"/>
  <c r="L72" i="3"/>
  <c r="N71" i="3"/>
  <c r="L71" i="3"/>
  <c r="O72" i="3"/>
  <c r="O70" i="3"/>
  <c r="L36" i="3"/>
  <c r="J70" i="3"/>
  <c r="AS69" i="3" s="1"/>
  <c r="BL26" i="3" s="1"/>
  <c r="N70" i="3"/>
  <c r="J72" i="3"/>
  <c r="L70" i="3"/>
  <c r="N72" i="3"/>
  <c r="M34" i="3"/>
  <c r="N10" i="3"/>
  <c r="J10" i="3"/>
  <c r="AS9" i="3" s="1"/>
  <c r="BL1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BS28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BS61" i="3" l="1"/>
  <c r="S86" i="3"/>
  <c r="T86" i="3" s="1" a="1"/>
  <c r="T86" i="3" s="1"/>
  <c r="S88" i="3"/>
  <c r="T88" i="3" s="1" a="1"/>
  <c r="T88" i="3" s="1"/>
  <c r="P71" i="3"/>
  <c r="K69" i="3"/>
  <c r="P70" i="3"/>
  <c r="AT90" i="3"/>
  <c r="AL90" i="3"/>
  <c r="AJ90" i="3"/>
  <c r="AI90" i="3"/>
  <c r="AH90" i="3"/>
  <c r="AF90" i="3"/>
  <c r="AG90" i="3"/>
  <c r="K71" i="3"/>
  <c r="P35" i="3"/>
  <c r="P69" i="3"/>
  <c r="AN90" i="3"/>
  <c r="K70" i="3"/>
  <c r="P33" i="3"/>
  <c r="P72" i="3"/>
  <c r="K72" i="3"/>
  <c r="P34" i="3"/>
  <c r="K36" i="3"/>
  <c r="P12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S111" i="3" s="1"/>
  <c r="T111" i="3" s="1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J3" i="4"/>
  <c r="BL71" i="3" s="1"/>
  <c r="I3" i="4"/>
  <c r="BL15" i="3" s="1"/>
  <c r="D3" i="4"/>
  <c r="BL51" i="3" s="1"/>
  <c r="BS53" i="3"/>
  <c r="BS52" i="3"/>
  <c r="BS69" i="3"/>
  <c r="BZ65" i="3" s="1"/>
  <c r="CG56" i="3" s="1"/>
  <c r="CN38" i="3" s="1"/>
  <c r="BS68" i="3"/>
  <c r="BZ49" i="3" l="1"/>
  <c r="CG55" i="3" s="1"/>
  <c r="CN49" i="3" s="1"/>
  <c r="S91" i="3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<sst xmlns="http://schemas.openxmlformats.org/spreadsheetml/2006/main" count="9786" uniqueCount="3698">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</sst>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4" x14ac:dyDescent="0.3"/>
  <cols>
    <col min="1" max="1" width="24.218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21875" defaultRowHeight="14.4" x14ac:dyDescent="0.3"/>
  <cols>
    <col min="1" max="1" width="1.21875" style="10" customWidth="1"/>
    <col min="2" max="2" width="18.77734375" style="10" bestFit="1" customWidth="1"/>
    <col min="3" max="3" width="20.21875" style="10" customWidth="1"/>
    <col min="4" max="4" width="9.21875" style="10"/>
    <col min="5" max="5" width="1.21875" style="10" customWidth="1"/>
    <col min="6" max="6" width="9.21875" style="10"/>
    <col min="7" max="7" width="27.5546875" style="10" bestFit="1" customWidth="1"/>
    <col min="8" max="8" width="2.77734375" style="10" customWidth="1"/>
    <col min="9" max="9" width="1.21875" style="10" customWidth="1"/>
    <col min="10" max="16384" width="9.218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K28" zoomScaleNormal="100" workbookViewId="0">
      <selection activeCell="BS47" sqref="BS47"/>
    </sheetView>
  </sheetViews>
  <sheetFormatPr defaultColWidth="9.21875" defaultRowHeight="14.4" x14ac:dyDescent="0.3"/>
  <cols>
    <col min="1" max="1" width="4.77734375" style="3" customWidth="1"/>
    <col min="2" max="2" width="6.21875" style="3" customWidth="1"/>
    <col min="3" max="3" width="11.77734375" style="3" bestFit="1" customWidth="1"/>
    <col min="4" max="4" width="9" style="4" customWidth="1"/>
    <col min="5" max="5" width="22.5546875" style="5" customWidth="1"/>
    <col min="6" max="7" width="4.2187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77734375" style="9" customWidth="1"/>
    <col min="16" max="16" width="6.7773437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2187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21875" style="125" hidden="1" customWidth="1"/>
    <col min="44" max="44" width="10" style="125" hidden="1" customWidth="1"/>
    <col min="45" max="45" width="15.21875" style="125" hidden="1" customWidth="1"/>
    <col min="46" max="50" width="4.77734375" style="126" hidden="1" customWidth="1"/>
    <col min="51" max="51" width="9.21875" style="125" hidden="1" customWidth="1"/>
    <col min="52" max="61" width="9.21875" style="126" hidden="1" customWidth="1"/>
    <col min="62" max="62" width="9.21875" style="112" hidden="1" customWidth="1"/>
    <col min="63" max="63" width="3.21875" style="2" customWidth="1"/>
    <col min="64" max="64" width="19.77734375" style="2" customWidth="1"/>
    <col min="65" max="67" width="3" style="2" customWidth="1"/>
    <col min="68" max="69" width="2" style="111" customWidth="1"/>
    <col min="70" max="70" width="3.21875" style="2" customWidth="1"/>
    <col min="71" max="71" width="19.77734375" style="2" customWidth="1"/>
    <col min="72" max="74" width="3" style="2" customWidth="1"/>
    <col min="75" max="76" width="2" style="111" customWidth="1"/>
    <col min="77" max="77" width="4" style="2" customWidth="1"/>
    <col min="78" max="78" width="19.77734375" style="2" customWidth="1"/>
    <col min="79" max="81" width="3" style="2" customWidth="1"/>
    <col min="82" max="83" width="2" style="111" customWidth="1"/>
    <col min="84" max="84" width="3.77734375" style="2" customWidth="1"/>
    <col min="85" max="85" width="19.77734375" style="2" customWidth="1"/>
    <col min="86" max="88" width="3" style="2" customWidth="1"/>
    <col min="89" max="90" width="2" style="111" customWidth="1"/>
    <col min="91" max="91" width="3.77734375" style="2" customWidth="1"/>
    <col min="92" max="92" width="19.77734375" style="2" customWidth="1"/>
    <col min="93" max="95" width="3" style="2" customWidth="1"/>
    <col min="96" max="96" width="2" style="111" customWidth="1"/>
    <col min="97" max="16384" width="9.21875" style="2"/>
  </cols>
  <sheetData>
    <row r="1" spans="1:95" ht="46.2" x14ac:dyDescent="0.3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2</v>
      </c>
      <c r="AL8" s="123">
        <f>AI8-AJ8</f>
        <v>4</v>
      </c>
      <c r="AM8" s="123">
        <f>AL8-AL12</f>
        <v>7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90000009.607983366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0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6 - 2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10000000.143572008</v>
      </c>
      <c r="AQ9" s="126">
        <f>VLOOKUP(AE9,db_fifarank,2,FALSE)</f>
        <v>1429.73</v>
      </c>
      <c r="AR9" s="125">
        <f>AP9/AP12</f>
        <v>0.11111109961008124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3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5 - 5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5</v>
      </c>
      <c r="AL10" s="123">
        <f>AI10-AJ10</f>
        <v>0</v>
      </c>
      <c r="AM10" s="123">
        <f>AL10-AL12</f>
        <v>3</v>
      </c>
      <c r="AN10" s="123">
        <f>AF10*3+AG10</f>
        <v>4</v>
      </c>
      <c r="AO10" s="123">
        <f>AN10/AN12*10+BA10</f>
        <v>4</v>
      </c>
      <c r="AP10" s="123">
        <f>AO10*10000000+BI10*100+AM10/AM12*10+AI10/AI12*1++IF(AQ10=0,ROW(),AQ10)/2000000</f>
        <v>40000004.465080045</v>
      </c>
      <c r="AQ10" s="126">
        <f>VLOOKUP(AE10,db_fifarank,2,FALSE)</f>
        <v>1588.66</v>
      </c>
      <c r="AR10" s="125">
        <f>AP10/AP12</f>
        <v>0.44444444167134223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2 - 3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2</v>
      </c>
      <c r="AN11" s="123">
        <f>AF11*3+AG11</f>
        <v>3</v>
      </c>
      <c r="AO11" s="123">
        <f>AN11/AN12*10+BA11</f>
        <v>3</v>
      </c>
      <c r="AP11" s="123">
        <f>AO11*10000000+BI11*100+AM11/AM12*10+AI11/AI12*1++IF(AQ11=0,ROW(),AQ11)/2000000</f>
        <v>30000002.786464978</v>
      </c>
      <c r="AQ11" s="126">
        <f>VLOOKUP(AE11,db_fifarank,2,FALSE)</f>
        <v>1501.38</v>
      </c>
      <c r="AR11" s="125">
        <f>AP11/AP12</f>
        <v>0.333333325005229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Scotland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1 - 4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7</v>
      </c>
      <c r="AL12" s="123">
        <f>MIN(AL8:AL11)</f>
        <v>-3</v>
      </c>
      <c r="AM12" s="123">
        <f>MAX(AM8:AM11)+1</f>
        <v>8</v>
      </c>
      <c r="AN12" s="123">
        <f>MAX(AN8:AN11)+1</f>
        <v>10</v>
      </c>
      <c r="AO12" s="123">
        <f>MAX(AO8:AO11)+1</f>
        <v>10</v>
      </c>
      <c r="AP12" s="123">
        <f>MAX(AP8:AP11)+1</f>
        <v>90000010.607983366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>
        <v>1</v>
      </c>
      <c r="BV12" s="25">
        <v>4</v>
      </c>
      <c r="BW12" s="112">
        <f>IF(OR(BT12="",BT13="",AND(BU12="",BU13&lt;&gt;""),AND(BU13="",BU12&lt;&gt;""),AND(BV12="",BV13&lt;&gt;""),AND(BV13="",BV12&lt;&gt;"")),"",BT12*1000+BU12*10+BV12)</f>
        <v>1014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1</v>
      </c>
      <c r="BU13" s="64">
        <v>1</v>
      </c>
      <c r="BV13" s="27">
        <v>5</v>
      </c>
      <c r="BW13" s="113">
        <f>IF(BW12="","",BT13*1000+BU13*10+BV13)</f>
        <v>1015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4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1</v>
      </c>
      <c r="AH14" s="123">
        <f>COUNTIF($S$7:$T$78,"=" &amp; AE14 &amp; "_lose")</f>
        <v>2</v>
      </c>
      <c r="AI14" s="123">
        <f>SUMIF($E$7:$E$78,$AE14,$F$7:$F$78) + SUMIF($H$7:$H$78,$AE14,$G$7:$G$78)</f>
        <v>1</v>
      </c>
      <c r="AJ14" s="123">
        <f>SUMIF($E$7:$E$78,$AE14,$G$7:$G$78) + SUMIF($H$7:$H$78,$AE14,$F$7:$F$78)</f>
        <v>5</v>
      </c>
      <c r="AL14" s="123">
        <f>AI14-AJ14</f>
        <v>-4</v>
      </c>
      <c r="AM14" s="123">
        <f>AL14-AL18</f>
        <v>0</v>
      </c>
      <c r="AN14" s="123">
        <f>AF14*3+AG14</f>
        <v>1</v>
      </c>
      <c r="AO14" s="123">
        <f>AN14/AN18*10+BA14</f>
        <v>1.9805825242718447</v>
      </c>
      <c r="AP14" s="123">
        <f>AO14*10000000+BI14*100+AM14/AM18*10+AI14/AI18*1++IF(AQ14=0,ROW(),AQ14)/2000000</f>
        <v>19805923.426749114</v>
      </c>
      <c r="AQ14" s="126">
        <f>VLOOKUP(AE14,db_fifarank,2,FALSE)</f>
        <v>1556.48</v>
      </c>
      <c r="AR14" s="125">
        <f>AP14/AP18</f>
        <v>0.22006578903717985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7 - 1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2</v>
      </c>
      <c r="AL15" s="123">
        <f>AI15-AJ15</f>
        <v>1</v>
      </c>
      <c r="AM15" s="123">
        <f>AL15-AL18</f>
        <v>5</v>
      </c>
      <c r="AN15" s="123">
        <f>AF15*3+AG15</f>
        <v>6</v>
      </c>
      <c r="AO15" s="123">
        <f>AN15/AN18*10+BA15</f>
        <v>6</v>
      </c>
      <c r="AP15" s="123">
        <f>AO15*10000000+BI15*100+AM15/AM18*10+AI15/AI18*1++IF(AQ15=0,ROW(),AQ15)/2000000</f>
        <v>60000004.921147466</v>
      </c>
      <c r="AQ15" s="126">
        <f>VLOOKUP(AE15,db_fifarank,2,FALSE)</f>
        <v>1385.84</v>
      </c>
      <c r="AR15" s="125">
        <f>AP15/AP18</f>
        <v>0.66666664011102106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Tunisia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3 - 2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4</v>
      </c>
      <c r="AL16" s="123">
        <f>AI16-AJ16</f>
        <v>-3</v>
      </c>
      <c r="AM16" s="123">
        <f>AL16-AL18</f>
        <v>1</v>
      </c>
      <c r="AN16" s="123">
        <f>AF16*3+AG16</f>
        <v>1</v>
      </c>
      <c r="AO16" s="123">
        <f>AN16/AN18*10+BA16</f>
        <v>1.9805825242718447</v>
      </c>
      <c r="AP16" s="123">
        <f>AO16*10000000+BI16*100+AM16/AM18*10+AI16/AI18*1++IF(AQ16=0,ROW(),AQ16)/2000000</f>
        <v>19805924.335789263</v>
      </c>
      <c r="AQ16" s="126">
        <f>VLOOKUP(AE16,db_fifarank,2,FALSE)</f>
        <v>1454.96</v>
      </c>
      <c r="AR16" s="125">
        <f>AP16/AP18</f>
        <v>0.22006579913762472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50.5</v>
      </c>
      <c r="BA16" s="126">
        <f>AZ16/AZ18</f>
        <v>0.98058252427184467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50.5</v>
      </c>
      <c r="BI16" s="126">
        <f>BH16/BH18</f>
        <v>0.98058252427184467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>
        <v>2</v>
      </c>
      <c r="CC16" s="25"/>
      <c r="CD16" s="112">
        <f>IF(OR(CA16="",CA17="",AND(CB16="",CB17&lt;&gt;""),AND(CB17="",CB16&lt;&gt;""),AND(CC16="",CC17&lt;&gt;""),AND(CC17="",CC16&lt;&gt;"")),"",CA16*1000+CB16*10+CC16)</f>
        <v>1020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3</v>
      </c>
      <c r="G17" s="20">
        <v>0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1 - 4</v>
      </c>
      <c r="P17" s="34">
        <f>L17*3+M17</f>
        <v>1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1</v>
      </c>
      <c r="AL17" s="123">
        <f>AI17-AJ17</f>
        <v>6</v>
      </c>
      <c r="AM17" s="123">
        <f>AL17-AL18</f>
        <v>10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90000009.966733798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>
        <v>1</v>
      </c>
      <c r="CC17" s="27"/>
      <c r="CD17" s="113">
        <f>IF(CD16="","",CA17*1000+CB17*10+CC17)</f>
        <v>1010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Canada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1 - 5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8</v>
      </c>
      <c r="AL18" s="123">
        <f>MIN(AL14:AL17)</f>
        <v>-4</v>
      </c>
      <c r="AM18" s="123">
        <f>MAX(AM14:AM17)+1</f>
        <v>11</v>
      </c>
      <c r="AN18" s="123">
        <f>MAX(AN14:AN17)+1</f>
        <v>10</v>
      </c>
      <c r="AO18" s="123">
        <f>MAX(AO14:AO17)+1</f>
        <v>10</v>
      </c>
      <c r="AP18" s="123">
        <f>MAX(AP14:AP17)+1</f>
        <v>90000010.966733798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41">
        <v>73</v>
      </c>
      <c r="BL18" s="24" t="str">
        <f>AS9</f>
        <v>Korea Republic</v>
      </c>
      <c r="BM18" s="61">
        <v>1</v>
      </c>
      <c r="BN18" s="63">
        <v>1</v>
      </c>
      <c r="BO18" s="25"/>
      <c r="BP18" s="112">
        <f>IF(OR(BM18="",BM19="",AND(BN18="",BN19&lt;&gt;""),AND(BN19="",BN18&lt;&gt;""),AND(BO18="",BO19&lt;&gt;""),AND(BO19="",BO18&lt;&gt;"")),"",BM18*1000+BN18*10+BO18)</f>
        <v>1010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Bosnia and Herzegovina</v>
      </c>
      <c r="BM19" s="62">
        <v>1</v>
      </c>
      <c r="BN19" s="64">
        <v>2</v>
      </c>
      <c r="BO19" s="27"/>
      <c r="BP19" s="113">
        <f>IF(BP18="","",BM19*1000+BN19*10+BO19)</f>
        <v>1020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1</v>
      </c>
      <c r="AL20" s="123">
        <f>AI20-AJ20</f>
        <v>7</v>
      </c>
      <c r="AM20" s="123">
        <f>AL20-AL24</f>
        <v>15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90000010.26476948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Bosnia and Herzegovina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8 - 1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4</v>
      </c>
      <c r="AL21" s="123">
        <f>AI21-AJ21</f>
        <v>2</v>
      </c>
      <c r="AM21" s="123">
        <f>AL21-AL24</f>
        <v>10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60000006.917544596</v>
      </c>
      <c r="AQ21" s="126">
        <f>VLOOKUP(AE21,db_fifarank,2,FALSE)</f>
        <v>1755.87</v>
      </c>
      <c r="AR21" s="125">
        <f>AP21/AP24</f>
        <v>0.66666666008553721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6 - 4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7.176165768468298E-12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>
        <v>2</v>
      </c>
      <c r="BO22" s="25">
        <v>6</v>
      </c>
      <c r="BP22" s="116">
        <f>IF(OR(BM22="",BM23="",AND(BN22="",BN23&lt;&gt;""),AND(BN23="",BN22&lt;&gt;""),AND(BO22="",BO23&lt;&gt;""),AND(BO23="",BO22&lt;&gt;"")),"",BM22*1000+BN22*10+BO22)</f>
        <v>2026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4 - 5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5</v>
      </c>
      <c r="AL23" s="123">
        <f>AI23-AJ23</f>
        <v>-1</v>
      </c>
      <c r="AM23" s="123">
        <f>AL23-AL24</f>
        <v>7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30000004.820193619</v>
      </c>
      <c r="AQ23" s="126">
        <f>VLOOKUP(AE23,db_fifarank,2,FALSE)</f>
        <v>1498.35</v>
      </c>
      <c r="AR23" s="125">
        <f>AP23/AP24</f>
        <v>0.33333334516967028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2</v>
      </c>
      <c r="BN23" s="64">
        <v>2</v>
      </c>
      <c r="BO23" s="27">
        <v>5</v>
      </c>
      <c r="BP23" s="112">
        <f>IF(BP22="","",BM23*1000+BN23*10+BO23)</f>
        <v>2025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9</v>
      </c>
      <c r="AL24" s="123">
        <f>MIN(AL20:AL23)</f>
        <v>-8</v>
      </c>
      <c r="AM24" s="123">
        <f>MAX(AM20:AM23)+1</f>
        <v>16</v>
      </c>
      <c r="AN24" s="123">
        <f>MAX(AN20:AN23)+1</f>
        <v>10</v>
      </c>
      <c r="AO24" s="123">
        <f>MAX(AO20:AO23)+1</f>
        <v>10</v>
      </c>
      <c r="AP24" s="123">
        <f>MAX(AP20:AP23)+1</f>
        <v>90000011.26476948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1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1</v>
      </c>
      <c r="AH26" s="123">
        <f>COUNTIF($S$7:$T$78,"=" &amp; AE26 &amp; "_lose")</f>
        <v>2</v>
      </c>
      <c r="AI26" s="123">
        <f>SUMIF($E$7:$E$78,$AE26,$F$7:$F$78) + SUMIF($H$7:$H$78,$AE26,$G$7:$G$78)</f>
        <v>2</v>
      </c>
      <c r="AJ26" s="123">
        <f>SUMIF($E$7:$E$78,$AE26,$G$7:$G$78) + SUMIF($H$7:$H$78,$AE26,$F$7:$F$78)</f>
        <v>6</v>
      </c>
      <c r="AL26" s="123">
        <f>AI26-AJ26</f>
        <v>-4</v>
      </c>
      <c r="AM26" s="123">
        <f>AL26-AL30</f>
        <v>1</v>
      </c>
      <c r="AN26" s="123">
        <f>AF26*3+AG26</f>
        <v>1</v>
      </c>
      <c r="AO26" s="123">
        <f>AN26/AN30*10+BA26</f>
        <v>1.9805825242718447</v>
      </c>
      <c r="AP26" s="123">
        <f>AO26*10000000+BI26*100+AM26/AM30*10+AI26/AI30*1++IF(AQ26=0,ROW(),AQ26)/2000000</f>
        <v>19805924.460898351</v>
      </c>
      <c r="AQ26" s="126">
        <f>VLOOKUP(AE26,db_fifarank,2,FALSE)</f>
        <v>1673.13</v>
      </c>
      <c r="AR26" s="125">
        <f>AP26/AP30</f>
        <v>0.22006580052790392</v>
      </c>
      <c r="AS26" s="125" t="str">
        <f>IF(SUM(AF26:AH29)=12,J27,"1D")</f>
        <v>Paraguay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50.5</v>
      </c>
      <c r="BA26" s="126">
        <f>AZ26/AZ30</f>
        <v>0.98058252427184467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50.5</v>
      </c>
      <c r="BI26" s="126">
        <f>BH26/BH30</f>
        <v>0.98058252427184467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Paraguay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7 - 2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1</v>
      </c>
      <c r="AE27" s="124" t="str">
        <f>VLOOKUP("Paraguay",T,lang,FALSE)</f>
        <v>Paraguay</v>
      </c>
      <c r="AF27" s="123">
        <f>COUNTIF($S$7:$T$78,"=" &amp; AE27 &amp; "_win")</f>
        <v>3</v>
      </c>
      <c r="AG27" s="123">
        <f>COUNTIF($S$7:$T$78,"=" &amp; AE27 &amp; "_draw")</f>
        <v>0</v>
      </c>
      <c r="AH27" s="123">
        <f>COUNTIF($S$7:$T$78,"=" &amp; AE27 &amp; "_lose")</f>
        <v>0</v>
      </c>
      <c r="AI27" s="123">
        <f>SUMIF($E$7:$E$78,$AE27,$F$7:$F$78) + SUMIF($H$7:$H$78,$AE27,$G$7:$G$78)</f>
        <v>7</v>
      </c>
      <c r="AJ27" s="123">
        <f>SUMIF($E$7:$E$78,$AE27,$G$7:$G$78) + SUMIF($H$7:$H$78,$AE27,$F$7:$F$78)</f>
        <v>2</v>
      </c>
      <c r="AL27" s="123">
        <f>AI27-AJ27</f>
        <v>5</v>
      </c>
      <c r="AM27" s="123">
        <f>AL27-AL30</f>
        <v>10</v>
      </c>
      <c r="AN27" s="123">
        <f>AF27*3+AG27</f>
        <v>9</v>
      </c>
      <c r="AO27" s="123">
        <f>AN27/AN30*10+BA27</f>
        <v>9</v>
      </c>
      <c r="AP27" s="123">
        <f>AO27*10000000+BI27*100+AM27/AM30*10+AI27/AI30*1++IF(AQ27=0,ROW(),AQ27)/2000000</f>
        <v>90000009.966660842</v>
      </c>
      <c r="AQ27" s="126">
        <f>VLOOKUP(AE27,db_fifarank,2,FALSE)</f>
        <v>1503.5</v>
      </c>
      <c r="AR27" s="125">
        <f>AP27/AP30</f>
        <v>0.99999998888889019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6 - 2</v>
      </c>
      <c r="P28" s="34">
        <f>L28*3+M28</f>
        <v>6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6</v>
      </c>
      <c r="AL28" s="123">
        <f>AI28-AJ28</f>
        <v>-5</v>
      </c>
      <c r="AM28" s="123">
        <f>AL28-AL30</f>
        <v>0</v>
      </c>
      <c r="AN28" s="123">
        <f>AF28*3+AG28</f>
        <v>1</v>
      </c>
      <c r="AO28" s="123">
        <f>AN28/AN30*10+BA28</f>
        <v>1.9805825242718447</v>
      </c>
      <c r="AP28" s="123">
        <f>AO28*10000000+BI28*100+AM28/AM30*10+AI28/AI30*1++IF(AQ28=0,ROW(),AQ28)/2000000</f>
        <v>19805923.42676121</v>
      </c>
      <c r="AQ28" s="126">
        <f>VLOOKUP(AE28,db_fifarank,2,FALSE)</f>
        <v>1580.67</v>
      </c>
      <c r="AR28" s="125">
        <f>AP28/AP30</f>
        <v>0.22006578903749266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2 - 6</v>
      </c>
      <c r="P29" s="34">
        <f>L29*3+M29</f>
        <v>1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2</v>
      </c>
      <c r="AL29" s="123">
        <f>AI29-AJ29</f>
        <v>4</v>
      </c>
      <c r="AM29" s="123">
        <f>AL29-AL30</f>
        <v>9</v>
      </c>
      <c r="AN29" s="123">
        <f>AF29*3+AG29</f>
        <v>6</v>
      </c>
      <c r="AO29" s="123">
        <f>AN29/AN30*10+BA29</f>
        <v>6</v>
      </c>
      <c r="AP29" s="123">
        <f>AO29*10000000+BI29*100+AM29/AM30*10+AI29/AI30*1++IF(AQ29=0,ROW(),AQ29)/2000000</f>
        <v>60000008.932617702</v>
      </c>
      <c r="AQ29" s="126">
        <f>VLOOKUP(AE29,db_fifarank,2,FALSE)</f>
        <v>1599.04</v>
      </c>
      <c r="AR29" s="125">
        <f>AP29/AP30</f>
        <v>0.66666668468344747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1 - 6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8</v>
      </c>
      <c r="AL30" s="123">
        <f>MIN(AL26:AL29)</f>
        <v>-5</v>
      </c>
      <c r="AM30" s="123">
        <f>MAX(AM26:AM29)+1</f>
        <v>11</v>
      </c>
      <c r="AN30" s="123">
        <f>MAX(AN26:AN29)+1</f>
        <v>10</v>
      </c>
      <c r="AO30" s="123">
        <f>MAX(AO26:AO29)+1</f>
        <v>10</v>
      </c>
      <c r="AP30" s="123">
        <f>MAX(AP26:AP29)+1</f>
        <v>90000010.966660842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4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1</v>
      </c>
      <c r="AL32" s="123">
        <f>AI32-AJ32</f>
        <v>7</v>
      </c>
      <c r="AM32" s="123">
        <f>AL32-AL36</f>
        <v>16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90000010.301518798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8 - 1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1</v>
      </c>
      <c r="V33" s="123">
        <f t="shared" si="3"/>
        <v>1</v>
      </c>
      <c r="W33" s="123">
        <f t="shared" si="4"/>
        <v>1</v>
      </c>
      <c r="X33" s="123">
        <f t="shared" si="9"/>
        <v>1</v>
      </c>
      <c r="Y33" s="123">
        <f t="shared" si="10"/>
        <v>1</v>
      </c>
      <c r="Z33" s="123">
        <f t="shared" si="11"/>
        <v>1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9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7.1924990968204031E-12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3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5 - 3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3</v>
      </c>
      <c r="AL34" s="123">
        <f>AI34-AJ34</f>
        <v>0</v>
      </c>
      <c r="AM34" s="123">
        <f>AL34-AL36</f>
        <v>9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49805928.929188341</v>
      </c>
      <c r="AQ34" s="126">
        <f>VLOOKUP(AE34,db_fifarank,2,FALSE)</f>
        <v>1532.98</v>
      </c>
      <c r="AR34" s="125">
        <f>AP34/AP36</f>
        <v>0.55339914083263941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1">
        <v>81</v>
      </c>
      <c r="BL34" s="24" t="str">
        <f>AS26</f>
        <v>Paraguay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3 - 3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3</v>
      </c>
      <c r="AL35" s="123">
        <f>AI35-AJ35</f>
        <v>2</v>
      </c>
      <c r="AM35" s="123">
        <f>AL35-AL36</f>
        <v>11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49805930.327912048</v>
      </c>
      <c r="AQ35" s="126">
        <f>VLOOKUP(AE35,db_fifarank,2,FALSE)</f>
        <v>1594.78</v>
      </c>
      <c r="AR35" s="125">
        <f>AP35/AP36</f>
        <v>0.55339915637401194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Algeria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2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0 - 9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9</v>
      </c>
      <c r="AL36" s="123">
        <f>MIN(AL32:AL35)</f>
        <v>-9</v>
      </c>
      <c r="AM36" s="123">
        <f>MAX(AM32:AM35)+1</f>
        <v>17</v>
      </c>
      <c r="AN36" s="123">
        <f>MAX(AN32:AN35)+1</f>
        <v>10</v>
      </c>
      <c r="AO36" s="123">
        <f>MAX(AO32:AO35)+1</f>
        <v>10</v>
      </c>
      <c r="AP36" s="123">
        <f>MAX(AP32:AP35)+1</f>
        <v>90000011.301518798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Paraguay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1</v>
      </c>
      <c r="V37" s="123">
        <f t="shared" si="3"/>
        <v>1</v>
      </c>
      <c r="W37" s="123">
        <f t="shared" si="4"/>
        <v>1</v>
      </c>
      <c r="X37" s="123">
        <f t="shared" si="9"/>
        <v>1</v>
      </c>
      <c r="Y37" s="123">
        <f t="shared" si="10"/>
        <v>1</v>
      </c>
      <c r="Z37" s="123">
        <f t="shared" si="11"/>
        <v>1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2</v>
      </c>
      <c r="CP37" s="63">
        <v>3</v>
      </c>
      <c r="CQ37" s="25">
        <v>8</v>
      </c>
      <c r="CR37" s="111">
        <f>IF(OR(CO37="",CO38="",AND(CP37="",CP38&lt;&gt;""),AND(CP38="",CP37&lt;&gt;""),AND(CQ37="",CQ38&lt;&gt;""),AND(CQ38="",CQ37&lt;&gt;"")),"",CO37*1000+CP37*10+CQ37)</f>
        <v>2038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1</v>
      </c>
      <c r="AL38" s="123">
        <f>AI38-AJ38</f>
        <v>7</v>
      </c>
      <c r="AM38" s="123">
        <f>AL38-AL42</f>
        <v>11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90000010.056434497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Portugal</v>
      </c>
      <c r="CO38" s="62">
        <v>2</v>
      </c>
      <c r="CP38" s="64">
        <v>3</v>
      </c>
      <c r="CQ38" s="27">
        <v>7</v>
      </c>
      <c r="CR38" s="111">
        <f>IF(CR37="","",CO38*1000+CP38*10+CQ38)</f>
        <v>2037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8 - 1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4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1</v>
      </c>
      <c r="AH39" s="123">
        <f>COUNTIF($S$7:$T$78,"=" &amp; AE39 &amp; "_lose")</f>
        <v>2</v>
      </c>
      <c r="AI39" s="123">
        <f>SUMIF($E$7:$E$78,$AE39,$F$7:$F$78) + SUMIF($H$7:$H$78,$AE39,$G$7:$G$78)</f>
        <v>1</v>
      </c>
      <c r="AJ39" s="123">
        <f>SUMIF($E$7:$E$78,$AE39,$G$7:$G$78) + SUMIF($H$7:$H$78,$AE39,$F$7:$F$78)</f>
        <v>5</v>
      </c>
      <c r="AL39" s="123">
        <f>AI39-AJ39</f>
        <v>-4</v>
      </c>
      <c r="AM39" s="123">
        <f>AL39-AL42</f>
        <v>0</v>
      </c>
      <c r="AN39" s="123">
        <f>AF39*3+AG39</f>
        <v>1</v>
      </c>
      <c r="AO39" s="123">
        <f>AN39/AN42*10+BA39</f>
        <v>1</v>
      </c>
      <c r="AP39" s="123">
        <f>AO39*10000000+BI39*100+AM39/AM42*10+AI39/AI42*1++IF(AQ39=0,ROW(),AQ39)/2000000</f>
        <v>10000000.111941326</v>
      </c>
      <c r="AQ39" s="126">
        <f>VLOOKUP(AE39,db_fifarank,2,FALSE)</f>
        <v>1660.43</v>
      </c>
      <c r="AR39" s="125">
        <f>AP39/AP42</f>
        <v>0.11111109870498602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2 - 3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3</v>
      </c>
      <c r="AL40" s="123">
        <f>AI40-AJ40</f>
        <v>-1</v>
      </c>
      <c r="AM40" s="123">
        <f>AL40-AL42</f>
        <v>3</v>
      </c>
      <c r="AN40" s="123">
        <f>AF40*3+AG40</f>
        <v>4</v>
      </c>
      <c r="AO40" s="123">
        <f>AN40/AN42*10+BA40</f>
        <v>4</v>
      </c>
      <c r="AP40" s="123">
        <f>AO40*10000000+BI40*100+AM40/AM42*10+AI40/AI42*1++IF(AQ40=0,ROW(),AQ40)/2000000</f>
        <v>40000002.722979605</v>
      </c>
      <c r="AQ40" s="126">
        <f>VLOOKUP(AE40,db_fifarank,2,FALSE)</f>
        <v>1514.77</v>
      </c>
      <c r="AR40" s="125">
        <f>AP40/AP42</f>
        <v>0.44444442010009988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3 - 5</v>
      </c>
      <c r="P41" s="34">
        <f>L41*3+M41</f>
        <v>2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5</v>
      </c>
      <c r="AL41" s="123">
        <f>AI41-AJ41</f>
        <v>-2</v>
      </c>
      <c r="AM41" s="123">
        <f>AL41-AL42</f>
        <v>2</v>
      </c>
      <c r="AN41" s="123">
        <f>AF41*3+AG41</f>
        <v>2</v>
      </c>
      <c r="AO41" s="123">
        <f>AN41/AN42*10+BA41</f>
        <v>2</v>
      </c>
      <c r="AP41" s="123">
        <f>AO41*10000000+BI41*100+AM41/AM42*10+AI41/AI42*1++IF(AQ41=0,ROW(),AQ41)/2000000</f>
        <v>20000002.000741526</v>
      </c>
      <c r="AQ41" s="126">
        <f>VLOOKUP(AE41,db_fifarank,2,FALSE)</f>
        <v>1483.05</v>
      </c>
      <c r="AR41" s="125">
        <f>AP41/AP42</f>
        <v>0.22222221715284599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Japan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1 - 5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9</v>
      </c>
      <c r="AL42" s="123">
        <f>MIN(AL38:AL41)</f>
        <v>-4</v>
      </c>
      <c r="AM42" s="123">
        <f>MAX(AM38:AM41)+1</f>
        <v>12</v>
      </c>
      <c r="AN42" s="123">
        <f>MAX(AN38:AN41)+1</f>
        <v>10</v>
      </c>
      <c r="AO42" s="123">
        <f>MAX(AO38:AO41)+1</f>
        <v>10</v>
      </c>
      <c r="AP42" s="123">
        <f>MAX(AP38:AP41)+1</f>
        <v>90000011.056434497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1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90000009.858010203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>
        <v>1</v>
      </c>
      <c r="BV44" s="25">
        <v>6</v>
      </c>
      <c r="BW44" s="112">
        <f>IF(OR(BT44="",BT45="",AND(BU44="",BU45&lt;&gt;""),AND(BU45="",BU44&lt;&gt;""),AND(BV44="",BV45&lt;&gt;""),AND(BV45="",BV44&lt;&gt;"")),"",BT44*1000+BU44*10+BV44)</f>
        <v>1016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3</v>
      </c>
      <c r="AL45" s="123">
        <f>AI45-AJ45</f>
        <v>-1</v>
      </c>
      <c r="AM45" s="123">
        <f>AL45-AL48</f>
        <v>3</v>
      </c>
      <c r="AN45" s="123">
        <f>AF45*3+AG45</f>
        <v>4</v>
      </c>
      <c r="AO45" s="123">
        <f>AN45/AN48*10+BA45</f>
        <v>4.9805825242718447</v>
      </c>
      <c r="AP45" s="123">
        <f>AO45*10000000+BI45*100+AM45/AM48*10+AI45/AI48*1++IF(AQ45=0,ROW(),AQ45)/2000000</f>
        <v>49805926.587466769</v>
      </c>
      <c r="AQ45" s="126">
        <f>VLOOKUP(AE45,db_fifarank,2,FALSE)</f>
        <v>1563.24</v>
      </c>
      <c r="AR45" s="125">
        <f>AP45/AP48</f>
        <v>0.55339911754059445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1</v>
      </c>
      <c r="BU45" s="64">
        <v>1</v>
      </c>
      <c r="BV45" s="27">
        <v>7</v>
      </c>
      <c r="BW45" s="113">
        <f>IF(BW44="","",BT45*1000+BU45*10+BV45)</f>
        <v>1017</v>
      </c>
      <c r="CK45" s="114"/>
      <c r="CM45" s="147"/>
      <c r="CN45" s="148"/>
      <c r="CO45" s="148"/>
      <c r="CP45" s="148"/>
      <c r="CQ45" s="149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4 - 4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4</v>
      </c>
      <c r="AJ46" s="123">
        <f>SUMIF($E$7:$E$78,$AE46,$G$7:$G$78) + SUMIF($H$7:$H$78,$AE46,$F$7:$F$78)</f>
        <v>4</v>
      </c>
      <c r="AL46" s="123">
        <f>AI46-AJ46</f>
        <v>0</v>
      </c>
      <c r="AM46" s="123">
        <f>AL46-AL48</f>
        <v>4</v>
      </c>
      <c r="AN46" s="123">
        <f>AF46*3+AG46</f>
        <v>4</v>
      </c>
      <c r="AO46" s="123">
        <f>AN46/AN48*10+BA46</f>
        <v>4.9805825242718447</v>
      </c>
      <c r="AP46" s="123">
        <f>AO46*10000000+BI46*100+AM46/AM48*10+AI46/AI48*1++IF(AQ46=0,ROW(),AQ46)/2000000</f>
        <v>49805927.873207092</v>
      </c>
      <c r="AQ46" s="126">
        <f>VLOOKUP(AE46,db_fifarank,2,FALSE)</f>
        <v>1615.3</v>
      </c>
      <c r="AR46" s="125">
        <f>AP46/AP48</f>
        <v>0.55339913182659639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4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3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2 - 3</v>
      </c>
      <c r="P47" s="34">
        <f>L47*3+M47</f>
        <v>4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5</v>
      </c>
      <c r="AL47" s="123">
        <f>AI47-AJ47</f>
        <v>-4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0.14349792785714285</v>
      </c>
      <c r="AQ47" s="126">
        <f>VLOOKUP(AE47,db_fifarank,2,FALSE)</f>
        <v>1281.57</v>
      </c>
      <c r="AR47" s="125">
        <f>AP47/AP48</f>
        <v>1.5944212282766766E-9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1 - 5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7</v>
      </c>
      <c r="AL48" s="123">
        <f>MIN(AL44:AL47)</f>
        <v>-4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90000010.858010203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Norway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42"/>
      <c r="CN49" s="26" t="str">
        <f>IF(CK55&gt;CK56,CG56,IF(CK55&lt;CK56,CG55,""))</f>
        <v>England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0</v>
      </c>
      <c r="AL50" s="123">
        <f>AI50-AJ50</f>
        <v>10</v>
      </c>
      <c r="AM50" s="123">
        <f>AL50-AL54</f>
        <v>16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90000010.321793824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3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3000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10 - 0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6</v>
      </c>
      <c r="AL51" s="123">
        <f>AI51-AJ51</f>
        <v>-6</v>
      </c>
      <c r="AM51" s="123">
        <f>AL51-AL54</f>
        <v>0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19804019.608526204</v>
      </c>
      <c r="AQ51" s="126">
        <f>VLOOKUP(AE51,db_fifarank,2,FALSE)</f>
        <v>1366.13</v>
      </c>
      <c r="AR51" s="125">
        <f>AP51/AP54</f>
        <v>0.22004463463584686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42"/>
      <c r="BL51" s="26" t="str">
        <f>IF(group_round_completed,VLOOKUP('3rd places'!D3,AK80:AS91,9,FALSE),"3rd Group C/E/F/H/I")</f>
        <v>Ivory Coast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2 - 2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4</v>
      </c>
      <c r="AL52" s="123">
        <f>AI52-AJ52</f>
        <v>-4</v>
      </c>
      <c r="AM52" s="123">
        <f>AL52-AL54</f>
        <v>2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19804020.785024442</v>
      </c>
      <c r="AQ52" s="126">
        <f>VLOOKUP(AE52,db_fifarank,2,FALSE)</f>
        <v>1421.43</v>
      </c>
      <c r="AR52" s="125">
        <f>AP52/AP54</f>
        <v>0.22004464770804788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2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2000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0 - 4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2</v>
      </c>
      <c r="AJ53" s="123">
        <f>SUMIF($E$7:$E$78,$AE53,$G$7:$G$78) + SUMIF($H$7:$H$78,$AE53,$F$7:$F$78)</f>
        <v>2</v>
      </c>
      <c r="AL53" s="123">
        <f>AI53-AJ53</f>
        <v>0</v>
      </c>
      <c r="AM53" s="123">
        <f>AL53-AL54</f>
        <v>6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60000003.712066479</v>
      </c>
      <c r="AQ53" s="126">
        <f>VLOOKUP(AE53,db_fifarank,2,FALSE)</f>
        <v>1673.07</v>
      </c>
      <c r="AR53" s="125">
        <f>AP53/AP54</f>
        <v>0.66666662404671573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2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0 - 6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1</v>
      </c>
      <c r="V54" s="123">
        <f t="shared" si="21"/>
        <v>2</v>
      </c>
      <c r="W54" s="123">
        <f t="shared" si="22"/>
        <v>2</v>
      </c>
      <c r="X54" s="123">
        <f t="shared" si="9"/>
        <v>1</v>
      </c>
      <c r="Y54" s="123">
        <f t="shared" si="10"/>
        <v>2</v>
      </c>
      <c r="Z54" s="123">
        <f t="shared" si="11"/>
        <v>2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11</v>
      </c>
      <c r="AL54" s="123">
        <f>MIN(AL50:AL53)</f>
        <v>-6</v>
      </c>
      <c r="AM54" s="123">
        <f>MAX(AM50:AM53)+1</f>
        <v>17</v>
      </c>
      <c r="AN54" s="123">
        <f>MAX(AN50:AN53)+1</f>
        <v>10</v>
      </c>
      <c r="AO54" s="123">
        <f>MAX(AO50:AO53)+1</f>
        <v>10</v>
      </c>
      <c r="AP54" s="123">
        <f>MAX(AP50:AP53)+1</f>
        <v>90000011.321793824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3</v>
      </c>
      <c r="AL56" s="123">
        <f>AI56-AJ56</f>
        <v>5</v>
      </c>
      <c r="AM56" s="123">
        <f>AL56-AL60</f>
        <v>13</v>
      </c>
      <c r="AN56" s="123">
        <f>AF56*3+AG56</f>
        <v>7</v>
      </c>
      <c r="AO56" s="123">
        <f>AN56/AN60*10+BA56</f>
        <v>9.7306451612903224</v>
      </c>
      <c r="AP56" s="123">
        <f>AO56*10000000+BI56*100+AM56/AM60*10+AI56/AI60*1++IF(AQ56=0,ROW(),AQ56)/2000000</f>
        <v>97306559.852961183</v>
      </c>
      <c r="AQ56" s="126">
        <f>VLOOKUP(AE56,db_fifarank,2,FALSE)</f>
        <v>1877.32</v>
      </c>
      <c r="AR56" s="125">
        <f>AP56/AP60</f>
        <v>0.9999999897232007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2</v>
      </c>
      <c r="AW56" s="126" cm="1">
        <f t="array" ref="AW56">SUMPRODUCT(($E$7:$E$78=AE56)*($U$7:$U$78)*($G$7:$G$78))+SUMPRODUCT(($H$7:$H$78=AE56)*($U$7:$U$78)*($F$7:$F$78))</f>
        <v>2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50.666666666666664</v>
      </c>
      <c r="BA56" s="126">
        <f>AZ56/AZ60</f>
        <v>0.98064516129032253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2</v>
      </c>
      <c r="BE56" s="126" cm="1">
        <f t="array" ref="BE56">SUMPRODUCT(($E$7:$E$78=AE56)*($X$7:$X$78)*($G$7:$G$78))+SUMPRODUCT(($H$7:$H$78=AE56)*($X$7:$X$78)*($F$7:$F$78))</f>
        <v>2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50.666666666666664</v>
      </c>
      <c r="BI56" s="126">
        <f>BH56/BH60</f>
        <v>0.98064516129032253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3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8 - 3</v>
      </c>
      <c r="P57" s="32">
        <f>L57*3+M57</f>
        <v>7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6</v>
      </c>
      <c r="AL57" s="123">
        <f>AI57-AJ57</f>
        <v>-2</v>
      </c>
      <c r="AM57" s="123">
        <f>AL57-AL60</f>
        <v>6</v>
      </c>
      <c r="AN57" s="123">
        <f>AF57*3+AG57</f>
        <v>3</v>
      </c>
      <c r="AO57" s="123">
        <f>AN57/AN60*10+BA57</f>
        <v>3.75</v>
      </c>
      <c r="AP57" s="123">
        <f>AO57*10000000+BI57*100+AM57/AM60*10+AI57/AI60*1++IF(AQ57=0,ROW(),AQ57)/2000000</f>
        <v>37500004.731003225</v>
      </c>
      <c r="AQ57" s="126">
        <f>VLOOKUP(AE57,db_fifarank,2,FALSE)</f>
        <v>1688.99</v>
      </c>
      <c r="AR57" s="125">
        <f>AP57/AP60</f>
        <v>0.38538002373415547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8 - 3</v>
      </c>
      <c r="P58" s="34">
        <f>L58*3+M58</f>
        <v>7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9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0.11183468111111111</v>
      </c>
      <c r="AQ58" s="126">
        <f>VLOOKUP(AE58,db_fifarank,2,FALSE)</f>
        <v>1447.14</v>
      </c>
      <c r="AR58" s="125">
        <f>AP58/AP60</f>
        <v>1.1493025766279338E-9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4 - 6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8</v>
      </c>
      <c r="AJ59" s="123">
        <f>SUMIF($E$7:$E$78,$AE59,$G$7:$G$78) + SUMIF($H$7:$H$78,$AE59,$F$7:$F$78)</f>
        <v>3</v>
      </c>
      <c r="AL59" s="123">
        <f>AI59-AJ59</f>
        <v>5</v>
      </c>
      <c r="AM59" s="123">
        <f>AL59-AL60</f>
        <v>13</v>
      </c>
      <c r="AN59" s="123">
        <f>AF59*3+AG59</f>
        <v>7</v>
      </c>
      <c r="AO59" s="123">
        <f>AN59/AN60*10+BA59</f>
        <v>9.7306451612903224</v>
      </c>
      <c r="AP59" s="123">
        <f>AO59*10000000+BI59*100+AM59/AM60*10+AI59/AI60*1++IF(AQ59=0,ROW(),AQ59)/2000000</f>
        <v>97306559.852798</v>
      </c>
      <c r="AQ59" s="126">
        <f>VLOOKUP(AE59,db_fifarank,2,FALSE)</f>
        <v>1550.94</v>
      </c>
      <c r="AR59" s="125">
        <f>AP59/AP60</f>
        <v>0.99999998972152371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1 - 9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9</v>
      </c>
      <c r="AL60" s="123">
        <f>MIN(AL56:AL59)</f>
        <v>-8</v>
      </c>
      <c r="AM60" s="123">
        <f>MAX(AM56:AM59)+1</f>
        <v>14</v>
      </c>
      <c r="AN60" s="123">
        <f>MAX(AN56:AN59)+1</f>
        <v>8</v>
      </c>
      <c r="AO60" s="123">
        <f>MAX(AO56:AO59)+1</f>
        <v>10.730645161290322</v>
      </c>
      <c r="AP60" s="123">
        <f>MAX(AP56:AP59)+1</f>
        <v>97306560.852961183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0</v>
      </c>
      <c r="AL62" s="123">
        <f>AI62-AJ62</f>
        <v>6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90000010.0888495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1</v>
      </c>
      <c r="BN62" s="63">
        <v>1</v>
      </c>
      <c r="BO62" s="25">
        <v>6</v>
      </c>
      <c r="BP62" s="116">
        <f>IF(OR(BM62="",BM63="",AND(BN62="",BN63&lt;&gt;""),AND(BN63="",BN62&lt;&gt;""),AND(BO62="",BO63&lt;&gt;""),AND(BO63="",BO62&lt;&gt;"")),"",BM62*1000+BN62*10+BO62)</f>
        <v>1016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0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6 - 0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3</v>
      </c>
      <c r="AL63" s="123">
        <f>AI63-AJ63</f>
        <v>-1</v>
      </c>
      <c r="AM63" s="123">
        <f>AL63-AL66</f>
        <v>5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30000004.132650264</v>
      </c>
      <c r="AQ63" s="126">
        <f>VLOOKUP(AE63,db_fifarank,2,FALSE)</f>
        <v>1564.26</v>
      </c>
      <c r="AR63" s="125">
        <f>AP63/AP66</f>
        <v>0.33333333818185601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Iran</v>
      </c>
      <c r="BM63" s="62">
        <v>1</v>
      </c>
      <c r="BN63" s="64">
        <v>1</v>
      </c>
      <c r="BO63" s="27">
        <v>5</v>
      </c>
      <c r="BP63" s="112">
        <f>IF(BP62="","",BM63*1000+BN63*10+BO63)</f>
        <v>1015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7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60000005.956840687</v>
      </c>
      <c r="AQ64" s="126">
        <f>VLOOKUP(AE64,db_fifarank,2,FALSE)</f>
        <v>1593.45</v>
      </c>
      <c r="AR64" s="125">
        <f>AP64/AP66</f>
        <v>0.66666665071416142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2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2 - 3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6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7.7302768253347071E-12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2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0 - 6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7</v>
      </c>
      <c r="AL66" s="123">
        <f>MIN(AL62:AL65)</f>
        <v>-6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90000011.0888495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2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1</v>
      </c>
      <c r="V67" s="123">
        <f t="shared" si="21"/>
        <v>2</v>
      </c>
      <c r="W67" s="123">
        <f t="shared" si="22"/>
        <v>2</v>
      </c>
      <c r="X67" s="123">
        <f t="shared" si="9"/>
        <v>1</v>
      </c>
      <c r="Y67" s="123">
        <f t="shared" si="10"/>
        <v>2</v>
      </c>
      <c r="Z67" s="123">
        <f t="shared" si="11"/>
        <v>2</v>
      </c>
      <c r="AA67" s="123">
        <f t="shared" si="17"/>
        <v>0</v>
      </c>
      <c r="AB67" s="123">
        <f t="shared" si="23"/>
        <v>0</v>
      </c>
      <c r="BK67" s="142"/>
      <c r="BL67" s="26" t="str">
        <f>IF(group_round_completed,VLOOKUP('3rd places'!E3,AK80:AS91,9,FALSE),"3rd Group E/F/G/I/J")</f>
        <v>Egypt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11</v>
      </c>
      <c r="AJ68" s="123">
        <f>SUMIF($E$7:$E$78,$AE68,$G$7:$G$78) + SUMIF($H$7:$H$78,$AE68,$F$7:$F$78)</f>
        <v>0</v>
      </c>
      <c r="AL68" s="123">
        <f>AI68-AJ68</f>
        <v>11</v>
      </c>
      <c r="AM68" s="123">
        <f>AL68-AL72</f>
        <v>18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90000010.391232789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11 - 0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1</v>
      </c>
      <c r="Y69" s="123">
        <f t="shared" si="10"/>
        <v>1</v>
      </c>
      <c r="Z69" s="123">
        <f t="shared" si="11"/>
        <v>1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1</v>
      </c>
      <c r="AH69" s="123">
        <f>COUNTIF($S$7:$T$78,"=" &amp; AE69 &amp; "_lose")</f>
        <v>1</v>
      </c>
      <c r="AI69" s="123">
        <f>SUMIF($E$7:$E$78,$AE69,$F$7:$F$78) + SUMIF($H$7:$H$78,$AE69,$G$7:$G$78)</f>
        <v>4</v>
      </c>
      <c r="AJ69" s="123">
        <f>SUMIF($E$7:$E$78,$AE69,$G$7:$G$78) + SUMIF($H$7:$H$78,$AE69,$F$7:$F$78)</f>
        <v>6</v>
      </c>
      <c r="AL69" s="123">
        <f>AI69-AJ69</f>
        <v>-2</v>
      </c>
      <c r="AM69" s="123">
        <f>AL69-AL72</f>
        <v>5</v>
      </c>
      <c r="AN69" s="123">
        <f>AF69*3+AG69</f>
        <v>4</v>
      </c>
      <c r="AO69" s="123">
        <f>AN69/AN72*10+BA69</f>
        <v>4.9806451612903224</v>
      </c>
      <c r="AP69" s="123">
        <f>AO69*10000000+BI69*100+AM69/AM72*10+AI69/AI72*1++IF(AQ69=0,ROW(),AQ69)/2000000</f>
        <v>49806552.643070802</v>
      </c>
      <c r="AQ69" s="126">
        <f>VLOOKUP(AE69,db_fifarank,2,FALSE)</f>
        <v>1478.35</v>
      </c>
      <c r="AR69" s="125">
        <f>AP69/AP72</f>
        <v>0.5534060704343714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2</v>
      </c>
      <c r="AW69" s="126" cm="1">
        <f t="array" ref="AW69">SUMPRODUCT(($E$7:$E$78=AE69)*($U$7:$U$78)*($G$7:$G$78))+SUMPRODUCT(($H$7:$H$78=AE69)*($U$7:$U$78)*($F$7:$F$78))</f>
        <v>2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50.666666666666664</v>
      </c>
      <c r="BA69" s="126">
        <f>AZ69/AZ72</f>
        <v>0.98064516129032253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2</v>
      </c>
      <c r="BE69" s="126" cm="1">
        <f t="array" ref="BE69">SUMPRODUCT(($E$7:$E$78=AE69)*($X$7:$X$78)*($G$7:$G$78))+SUMPRODUCT(($H$7:$H$78=AE69)*($X$7:$X$78)*($F$7:$F$78))</f>
        <v>2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50.666666666666664</v>
      </c>
      <c r="BI69" s="126">
        <f>BH69/BH72</f>
        <v>0.98064516129032253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4 - 6</v>
      </c>
      <c r="P70" s="34">
        <f>L70*3+M70</f>
        <v>4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7</v>
      </c>
      <c r="AL70" s="123">
        <f>AI70-AJ70</f>
        <v>-7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8.1407767474057432E-12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1</v>
      </c>
      <c r="N71" s="23">
        <f>VLOOKUP(3,AD68:AN71,5,FALSE)</f>
        <v>1</v>
      </c>
      <c r="O71" s="23" t="str">
        <f>VLOOKUP(3,AD68:AN71,6,FALSE) &amp; " - " &amp; VLOOKUP(3,AD68:AN71,7,FALSE)</f>
        <v>4 - 6</v>
      </c>
      <c r="P71" s="34">
        <f>L71*3+M71</f>
        <v>4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6</v>
      </c>
      <c r="AL71" s="123">
        <f>AI71-AJ71</f>
        <v>-2</v>
      </c>
      <c r="AM71" s="123">
        <f>AL71-AL72</f>
        <v>5</v>
      </c>
      <c r="AN71" s="123">
        <f>AF71*3+AG71</f>
        <v>4</v>
      </c>
      <c r="AO71" s="123">
        <f>AN71/AN72*10+BA71</f>
        <v>4.9806451612903224</v>
      </c>
      <c r="AP71" s="123">
        <f>AO71*10000000+BI71*100+AM71/AM72*10+AI71/AI72*1++IF(AQ71=0,ROW(),AQ71)/2000000</f>
        <v>49806552.643178172</v>
      </c>
      <c r="AQ71" s="126">
        <f>VLOOKUP(AE71,db_fifarank,2,FALSE)</f>
        <v>1693.09</v>
      </c>
      <c r="AR71" s="125">
        <f>AP71/AP72</f>
        <v>0.55340607043556445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50.666666666666664</v>
      </c>
      <c r="BA71" s="126">
        <f>AZ71/AZ72</f>
        <v>0.98064516129032253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50.666666666666664</v>
      </c>
      <c r="BI71" s="126">
        <f>BH71/BH72</f>
        <v>0.98064516129032253</v>
      </c>
      <c r="BK71" s="142"/>
      <c r="BL71" s="26" t="str">
        <f>IF(group_round_completed,VLOOKUP('3rd places'!J3,AK80:AS91,9,FALSE),"3rd Group D/E/I/J/L")</f>
        <v>Senegal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0 - 7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4</v>
      </c>
      <c r="AI72" s="123">
        <f>MAX(AI68:AI71)+1</f>
        <v>12</v>
      </c>
      <c r="AL72" s="123">
        <f>MIN(AL68:AL71)</f>
        <v>-7</v>
      </c>
      <c r="AM72" s="123">
        <f>MAX(AM68:AM71)+1</f>
        <v>19</v>
      </c>
      <c r="AN72" s="123">
        <f>MAX(AN68:AN71)+1</f>
        <v>10</v>
      </c>
      <c r="AO72" s="123">
        <f>MAX(AO68:AO71)+1</f>
        <v>10</v>
      </c>
      <c r="AP72" s="123">
        <f>MAX(AP68:AP71)+1</f>
        <v>90000011.391232789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3</v>
      </c>
      <c r="AL74" s="123">
        <f>AI74-AJ74</f>
        <v>3</v>
      </c>
      <c r="AM74" s="123">
        <f>AL74-AL78</f>
        <v>5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90000009.191389158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6 - 3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3</v>
      </c>
      <c r="AL75" s="123">
        <f>AI75-AJ75</f>
        <v>1</v>
      </c>
      <c r="AM75" s="123">
        <f>AL75-AL78</f>
        <v>3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60000005.572287112</v>
      </c>
      <c r="AQ75" s="126">
        <f>VLOOKUP(AE75,db_fifarank,2,FALSE)</f>
        <v>1717.07</v>
      </c>
      <c r="AR75" s="125">
        <f>AP75/AP78</f>
        <v>0.66666665308919792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5</v>
      </c>
      <c r="AL76" s="123">
        <f>AI76-AJ76</f>
        <v>-2</v>
      </c>
      <c r="AM76" s="123">
        <f>AL76-AL78</f>
        <v>0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19805923.73021546</v>
      </c>
      <c r="AQ76" s="126">
        <f>VLOOKUP(AE76,db_fifarank,2,FALSE)</f>
        <v>1346.31</v>
      </c>
      <c r="AR76" s="125">
        <f>AP76/AP78</f>
        <v>0.22006579430488121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3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0</v>
      </c>
      <c r="G77" s="20">
        <v>4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3 - 5</v>
      </c>
      <c r="P77" s="34">
        <f>L77*3+M77</f>
        <v>1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4</v>
      </c>
      <c r="AL77" s="123">
        <f>AI77-AJ77</f>
        <v>-2</v>
      </c>
      <c r="AM77" s="123">
        <f>AL77-AL78</f>
        <v>0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19805923.587455481</v>
      </c>
      <c r="AQ77" s="126">
        <f>VLOOKUP(AE77,db_fifarank,2,FALSE)</f>
        <v>1540.64</v>
      </c>
      <c r="AR77" s="125">
        <f>AP77/AP78</f>
        <v>0.22006579271865942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3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2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2 - 4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7</v>
      </c>
      <c r="AL78" s="123">
        <f>MIN(AL74:AL77)</f>
        <v>-2</v>
      </c>
      <c r="AM78" s="123">
        <f>MAX(AM74:AM77)+1</f>
        <v>6</v>
      </c>
      <c r="AN78" s="123">
        <f>MAX(AN74:AN77)+1</f>
        <v>10</v>
      </c>
      <c r="AO78" s="123">
        <f>MAX(AO74:AO77)+1</f>
        <v>10</v>
      </c>
      <c r="AP78" s="123">
        <f>MAX(AP74:AP77)+1</f>
        <v>90000010.191389158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6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6640.0007506900001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3 - 3</v>
      </c>
      <c r="P81" s="98">
        <f>L81*3+M81</f>
        <v>4</v>
      </c>
      <c r="AD81" s="123">
        <f t="shared" ref="AD81:AD91" si="38">COUNTIF($AP$80:$AP$91,CONCATENATE("&gt;=",AP81))</f>
        <v>10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1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2220.00072748</v>
      </c>
      <c r="AQ81" s="126">
        <f t="shared" si="37"/>
        <v>1454.96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Qatar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Ⓖ Egypt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2 - 3</v>
      </c>
      <c r="P82" s="101">
        <f t="shared" ref="P82:P92" si="48">L82*3+M82</f>
        <v>4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5</v>
      </c>
      <c r="AK82" s="123" t="s">
        <v>3182</v>
      </c>
      <c r="AL82" s="123">
        <f t="shared" si="43"/>
        <v>-1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6680.0007491750002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Ⓚ DR Congo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4 - 6</v>
      </c>
      <c r="P83" s="101">
        <f t="shared" si="48"/>
        <v>4</v>
      </c>
      <c r="AD83" s="123">
        <f t="shared" si="38"/>
        <v>11</v>
      </c>
      <c r="AE83" s="124" t="str">
        <f>J29</f>
        <v>United States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2</v>
      </c>
      <c r="AJ83" s="123">
        <f t="shared" si="42"/>
        <v>6</v>
      </c>
      <c r="AK83" s="123" t="s">
        <v>3184</v>
      </c>
      <c r="AL83" s="123">
        <f t="shared" si="43"/>
        <v>-4</v>
      </c>
      <c r="AM83" s="123">
        <f t="shared" si="44"/>
        <v>0</v>
      </c>
      <c r="AN83" s="123">
        <f t="shared" si="45"/>
        <v>1</v>
      </c>
      <c r="AP83" s="123">
        <f>AN83/AN92*10000+AM83/AM92*1000+AI83/AI92*100+IF(AQ83=0,ROW(),AQ83)/2000000</f>
        <v>2040.0008365650001</v>
      </c>
      <c r="AQ83" s="126">
        <f t="shared" si="37"/>
        <v>1673.13</v>
      </c>
      <c r="AR83" s="125" t="str">
        <f t="shared" si="50"/>
        <v>AC</v>
      </c>
      <c r="AS83" s="129" t="str">
        <f t="shared" si="46"/>
        <v/>
      </c>
      <c r="AT83" s="130" t="str">
        <f>"Ⓓ "&amp;AE83</f>
        <v>Ⓓ United States</v>
      </c>
    </row>
    <row r="84" spans="1:46" ht="15" customHeight="1" x14ac:dyDescent="0.3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4 - 5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3</v>
      </c>
      <c r="AK84" s="123" t="s">
        <v>3185</v>
      </c>
      <c r="AL84" s="123">
        <f t="shared" si="43"/>
        <v>0</v>
      </c>
      <c r="AM84" s="123">
        <f t="shared" si="44"/>
        <v>4</v>
      </c>
      <c r="AN84" s="123">
        <f t="shared" si="45"/>
        <v>4</v>
      </c>
      <c r="AP84" s="123">
        <f>AN84/AN92*10000+AM84/AM92*1000+AI84/AI92*100+IF(AQ84=0,ROW(),AQ84)/2000000</f>
        <v>8860.0007664900004</v>
      </c>
      <c r="AQ84" s="126">
        <f t="shared" si="37"/>
        <v>1532.98</v>
      </c>
      <c r="AR84" s="125" t="str">
        <f t="shared" si="50"/>
        <v>ACE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Ⓙ Algeria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2 - 3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Tunisia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3</v>
      </c>
      <c r="AJ85" s="123">
        <f t="shared" si="42"/>
        <v>5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2</v>
      </c>
      <c r="AP85" s="123">
        <f>AN85/AN92*10000+AM85/AM92*1000+AI85/AI92*100+IF(AQ85=0,ROW(),AQ85)/2000000</f>
        <v>4460.0007415250002</v>
      </c>
      <c r="AQ85" s="126">
        <f t="shared" si="37"/>
        <v>1483.05</v>
      </c>
      <c r="AR85" s="125" t="str">
        <f t="shared" si="50"/>
        <v>ACEF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3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Ⓐ Czech Republic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2 - 3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2</v>
      </c>
      <c r="AE86" s="124" t="str">
        <f>J47</f>
        <v>Egypt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2</v>
      </c>
      <c r="AJ86" s="123">
        <f t="shared" si="42"/>
        <v>3</v>
      </c>
      <c r="AK86" s="123" t="s">
        <v>3187</v>
      </c>
      <c r="AL86" s="123">
        <f t="shared" si="43"/>
        <v>-1</v>
      </c>
      <c r="AM86" s="123">
        <f t="shared" si="44"/>
        <v>3</v>
      </c>
      <c r="AN86" s="123">
        <f t="shared" si="45"/>
        <v>4</v>
      </c>
      <c r="AP86" s="123">
        <f>AN86/AN92*10000+AM86/AM92*1000+AI86/AI92*100+IF(AQ86=0,ROW(),AQ86)/2000000</f>
        <v>8640.0007816199995</v>
      </c>
      <c r="AQ86" s="126">
        <f t="shared" si="37"/>
        <v>1563.24</v>
      </c>
      <c r="AR86" s="125" t="str">
        <f t="shared" si="50"/>
        <v>ACEFG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3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Ⓘ Senegal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4 - 6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0</v>
      </c>
      <c r="AJ87" s="123">
        <f t="shared" si="42"/>
        <v>4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2000.000710715</v>
      </c>
      <c r="AQ87" s="126">
        <f t="shared" si="37"/>
        <v>1421.43</v>
      </c>
      <c r="AR87" s="125" t="str">
        <f t="shared" si="50"/>
        <v>ACEFG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Ⓕ Tunisia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3 - 5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Bosnia and Herzegovina</v>
      </c>
      <c r="T88" s="127" t="str" cm="1">
        <f t="array" ref="T88">IF(OR(S88="",S88="draw"),INDEX(T,90,lang),S88)</f>
        <v>Bosnia and Herzegovina</v>
      </c>
      <c r="AD88" s="123">
        <f t="shared" si="38"/>
        <v>7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6</v>
      </c>
      <c r="AK88" s="123" t="s">
        <v>3189</v>
      </c>
      <c r="AL88" s="123">
        <f t="shared" si="43"/>
        <v>-2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6480.0008444949999</v>
      </c>
      <c r="AQ88" s="126">
        <f t="shared" si="37"/>
        <v>1688.99</v>
      </c>
      <c r="AR88" s="125" t="str">
        <f t="shared" si="50"/>
        <v>ACEFGI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Ghana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3 - 5</v>
      </c>
      <c r="P89" s="104">
        <f t="shared" si="48"/>
        <v>1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5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3</v>
      </c>
      <c r="AK89" s="123" t="s">
        <v>3190</v>
      </c>
      <c r="AL89" s="123">
        <f t="shared" si="43"/>
        <v>-1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6640.0007821299996</v>
      </c>
      <c r="AQ89" s="126">
        <f t="shared" si="37"/>
        <v>1564.26</v>
      </c>
      <c r="AR89" s="125" t="str">
        <f t="shared" si="50"/>
        <v>ACEFGIJ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Ⓑ Qatar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1 - 4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Paraguay</v>
      </c>
      <c r="T90" s="127" t="str" cm="1">
        <f t="array" ref="T90">IF(OR(S90="",S90="draw"),INDEX(T,92,lang),S90)</f>
        <v>Paraguay</v>
      </c>
      <c r="AD90" s="123">
        <f t="shared" si="38"/>
        <v>3</v>
      </c>
      <c r="AE90" s="124" t="str">
        <f>J71</f>
        <v>DR Congo</v>
      </c>
      <c r="AF90" s="123">
        <f t="shared" si="39"/>
        <v>1</v>
      </c>
      <c r="AG90" s="123">
        <f t="shared" si="49"/>
        <v>1</v>
      </c>
      <c r="AH90" s="123">
        <f t="shared" si="40"/>
        <v>1</v>
      </c>
      <c r="AI90" s="123">
        <f t="shared" si="41"/>
        <v>4</v>
      </c>
      <c r="AJ90" s="123">
        <f t="shared" si="42"/>
        <v>6</v>
      </c>
      <c r="AK90" s="123" t="s">
        <v>3191</v>
      </c>
      <c r="AL90" s="123">
        <f t="shared" si="43"/>
        <v>-2</v>
      </c>
      <c r="AM90" s="123">
        <f t="shared" si="44"/>
        <v>2</v>
      </c>
      <c r="AN90" s="123">
        <f t="shared" si="45"/>
        <v>4</v>
      </c>
      <c r="AP90" s="123">
        <f>AN90/AN92*10000+AM90/AM92*1000+AI90/AI92*100+IF(AQ90=0,ROW(),AQ90)/2000000</f>
        <v>8480.0007391750005</v>
      </c>
      <c r="AQ90" s="126">
        <f t="shared" si="37"/>
        <v>1478.35</v>
      </c>
      <c r="AR90" s="125" t="str">
        <f t="shared" si="50"/>
        <v>ACEFGIJK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Ⓓ United States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2 - 6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9</v>
      </c>
      <c r="AE91" s="124" t="str">
        <f>J77</f>
        <v>Ghana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5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1</v>
      </c>
      <c r="AP91" s="123">
        <f>AN91/AN92*10000+AM91/AM92*1000+AI91/AI92*100+IF(AQ91=0,ROW(),AQ91)/2000000</f>
        <v>2460.0006731550002</v>
      </c>
      <c r="AQ91" s="126">
        <f t="shared" si="37"/>
        <v>1346.31</v>
      </c>
      <c r="AR91" s="125" t="str">
        <f t="shared" si="50"/>
        <v>ACEFGIJK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0 - 4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21875" defaultRowHeight="14.4" x14ac:dyDescent="0.3"/>
  <cols>
    <col min="1" max="1" width="2.44140625" style="82" customWidth="1"/>
    <col min="2" max="2" width="9.21875" style="81"/>
    <col min="3" max="3" width="13.77734375" style="81" customWidth="1"/>
    <col min="4" max="11" width="9.44140625" style="81" customWidth="1"/>
    <col min="12" max="16384" width="9.218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223</v>
      </c>
      <c r="C3" s="121" t="str">
        <f>'2026 World Cup'!AR91</f>
        <v>ACEFGIJK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3K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3C44D5-32B1-4AC4-8B46-90177D037BD3}"/>
</file>

<file path=customXml/itemProps2.xml><?xml version="1.0" encoding="utf-8"?>
<ds:datastoreItem xmlns:ds="http://schemas.openxmlformats.org/officeDocument/2006/customXml" ds:itemID="{743EA161-E389-44D6-ACAA-D2E0FC19B004}"/>
</file>

<file path=customXml/itemProps3.xml><?xml version="1.0" encoding="utf-8"?>
<ds:datastoreItem xmlns:ds="http://schemas.openxmlformats.org/officeDocument/2006/customXml" ds:itemID="{9F2C63C3-969C-4976-89B3-D390724DBB25}"/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Sara Seehuus</cp:lastModifiedBy>
  <cp:revision/>
  <dcterms:created xsi:type="dcterms:W3CDTF">2017-12-27T19:32:51Z</dcterms:created>
  <dcterms:modified xsi:type="dcterms:W3CDTF">2026-06-11T17:37:04Z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