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.sharepoint.com/sites/VM-tippekonk/Delte dokumenter/General/Innsendte skjema/Kampresultat/"/>
    </mc:Choice>
  </mc:AlternateContent>
  <xr:revisionPtr revIDLastSave="0" documentId="8_{0FB4E567-8B1B-455D-8B7D-C4F08D6B3FC4}" xr6:coauthVersionLast="47" xr6:coauthVersionMax="47" xr10:uidLastSave="{00000000-0000-0000-0000-000000000000}"/>
  <bookViews>
    <workbookView xWindow="6525" yWindow="1455" windowWidth="26280" windowHeight="17775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S63" i="3"/>
  <c r="T63" i="3" s="1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S54" i="3"/>
  <c r="S77" i="3"/>
  <c r="S50" i="3"/>
  <c r="S76" i="3"/>
  <c r="T25" i="3"/>
  <c r="T49" i="3"/>
  <c r="S47" i="3"/>
  <c r="S67" i="3"/>
  <c r="S72" i="3"/>
  <c r="T46" i="3"/>
  <c r="S70" i="3"/>
  <c r="S42" i="3"/>
  <c r="S64" i="3"/>
  <c r="T18" i="3"/>
  <c r="T41" i="3"/>
  <c r="S40" i="3"/>
  <c r="S62" i="3"/>
  <c r="T61" i="3"/>
  <c r="S38" i="3"/>
  <c r="S65" i="3"/>
  <c r="S55" i="3"/>
  <c r="T11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70" i="3"/>
  <c r="AR1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9" i="3" l="1"/>
  <c r="AD34" i="3"/>
  <c r="AD68" i="3"/>
  <c r="O69" i="3" s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N69" i="3" l="1"/>
  <c r="M71" i="3"/>
  <c r="M69" i="3"/>
  <c r="L69" i="3"/>
  <c r="J69" i="3"/>
  <c r="AS68" i="3" s="1"/>
  <c r="BL70" i="3" s="1"/>
  <c r="J71" i="3"/>
  <c r="AE90" i="3" s="1"/>
  <c r="AQ90" i="3" s="1"/>
  <c r="N71" i="3"/>
  <c r="O71" i="3"/>
  <c r="J33" i="3"/>
  <c r="AS32" i="3" s="1"/>
  <c r="BL10" i="3" s="1"/>
  <c r="L71" i="3"/>
  <c r="J36" i="3"/>
  <c r="M72" i="3"/>
  <c r="M70" i="3"/>
  <c r="N35" i="3"/>
  <c r="O36" i="3"/>
  <c r="O34" i="3"/>
  <c r="L36" i="3"/>
  <c r="N70" i="3"/>
  <c r="L70" i="3"/>
  <c r="L72" i="3"/>
  <c r="J70" i="3"/>
  <c r="AS69" i="3" s="1"/>
  <c r="BL26" i="3" s="1"/>
  <c r="M35" i="3"/>
  <c r="O72" i="3"/>
  <c r="O70" i="3"/>
  <c r="N36" i="3"/>
  <c r="J72" i="3"/>
  <c r="N72" i="3"/>
  <c r="M34" i="3"/>
  <c r="N10" i="3"/>
  <c r="J10" i="3"/>
  <c r="AS9" i="3" s="1"/>
  <c r="BL18" i="3" s="1"/>
  <c r="S88" i="3" s="1"/>
  <c r="T88" i="3" s="1" a="1"/>
  <c r="T8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BS28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BZ64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BS61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BZ48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P71" i="3" l="1"/>
  <c r="S86" i="3"/>
  <c r="T86" i="3" s="1" a="1"/>
  <c r="T86" i="3" s="1"/>
  <c r="K69" i="3"/>
  <c r="AH90" i="3"/>
  <c r="AG90" i="3"/>
  <c r="AF90" i="3"/>
  <c r="P72" i="3"/>
  <c r="P69" i="3"/>
  <c r="K71" i="3"/>
  <c r="AI90" i="3"/>
  <c r="AT90" i="3"/>
  <c r="AN90" i="3"/>
  <c r="AL90" i="3"/>
  <c r="AJ90" i="3"/>
  <c r="K36" i="3"/>
  <c r="K70" i="3"/>
  <c r="P33" i="3"/>
  <c r="K72" i="3"/>
  <c r="P34" i="3"/>
  <c r="P70" i="3"/>
  <c r="P35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K68" i="3" s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E3" i="4"/>
  <c r="BL67" i="3" s="1"/>
  <c r="J3" i="4"/>
  <c r="BL71" i="3" s="1"/>
  <c r="BS69" i="3" s="1"/>
  <c r="BZ65" i="3" s="1"/>
  <c r="CG56" i="3" s="1"/>
  <c r="I3" i="4"/>
  <c r="BL15" i="3" s="1"/>
  <c r="D3" i="4"/>
  <c r="BL51" i="3" s="1"/>
  <c r="BS53" i="3"/>
  <c r="BS52" i="3"/>
  <c r="BS68" i="3"/>
  <c r="BZ49" i="3" l="1"/>
  <c r="CG55" i="3" s="1"/>
  <c r="CN49" i="3" s="1"/>
  <c r="S91" i="3"/>
  <c r="T91" i="3" s="1" a="1"/>
  <c r="T91" i="3" s="1"/>
  <c r="BS37" i="3"/>
  <c r="CN38" i="3" l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<sst xmlns="http://schemas.openxmlformats.org/spreadsheetml/2006/main" count="9786" uniqueCount="3698">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</sst>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60" workbookViewId="0">
      <selection activeCell="F71" sqref="F71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BT49" sqref="BT49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3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4</v>
      </c>
      <c r="AJ8" s="123">
        <f>SUMIF($E$7:$E$78,$AE8,$G$7:$G$78) + SUMIF($H$7:$H$78,$AE8,$F$7:$F$78)</f>
        <v>1</v>
      </c>
      <c r="AL8" s="123">
        <f>AI8-AJ8</f>
        <v>3</v>
      </c>
      <c r="AM8" s="123">
        <f>AL8-AL12</f>
        <v>8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87500009.556396082</v>
      </c>
      <c r="AQ8" s="126">
        <f>VLOOKUP(AE8,db_fifarank,2,FALSE)</f>
        <v>1681.03</v>
      </c>
      <c r="AR8" s="125">
        <f>AP8/AP12</f>
        <v>0.99999998857142991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4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4 - 1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1</v>
      </c>
      <c r="AG9" s="123">
        <f>COUNTIF($S$7:$T$78,"=" &amp; AE9 &amp; "_draw")</f>
        <v>0</v>
      </c>
      <c r="AH9" s="123">
        <f>COUNTIF($S$7:$T$78,"=" &amp; AE9 &amp; "_lose")</f>
        <v>2</v>
      </c>
      <c r="AI9" s="123">
        <f>SUMIF($E$7:$E$78,$AE9,$F$7:$F$78) + SUMIF($H$7:$H$78,$AE9,$G$7:$G$78)</f>
        <v>4</v>
      </c>
      <c r="AJ9" s="123">
        <f>SUMIF($E$7:$E$78,$AE9,$G$7:$G$78) + SUMIF($H$7:$H$78,$AE9,$F$7:$F$78)</f>
        <v>3</v>
      </c>
      <c r="AL9" s="123">
        <f>AI9-AJ9</f>
        <v>1</v>
      </c>
      <c r="AM9" s="123">
        <f>AL9-AL12</f>
        <v>6</v>
      </c>
      <c r="AN9" s="123">
        <f>AF9*3+AG9</f>
        <v>3</v>
      </c>
      <c r="AO9" s="123">
        <f>AN9/AN12*10+BA9</f>
        <v>3.75</v>
      </c>
      <c r="AP9" s="123">
        <f>AO9*10000000+BI9*100+AM9/AM12*10+AI9/AI12*1++IF(AQ9=0,ROW(),AQ9)/2000000</f>
        <v>37500007.334048197</v>
      </c>
      <c r="AQ9" s="126">
        <f>VLOOKUP(AE9,db_fifarank,2,FALSE)</f>
        <v>1429.73</v>
      </c>
      <c r="AR9" s="125">
        <f>AP9/AP12</f>
        <v>0.42857146068432123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2</v>
      </c>
      <c r="AJ10" s="123">
        <f>SUMIF($E$7:$E$78,$AE10,$G$7:$G$78) + SUMIF($H$7:$H$78,$AE10,$F$7:$F$78)</f>
        <v>7</v>
      </c>
      <c r="AL10" s="123">
        <f>AI10-AJ10</f>
        <v>-5</v>
      </c>
      <c r="AM10" s="123">
        <f>AL10-AL12</f>
        <v>0</v>
      </c>
      <c r="AN10" s="123">
        <f>AF10*3+AG10</f>
        <v>1</v>
      </c>
      <c r="AO10" s="123">
        <f>AN10/AN12*10+BA10</f>
        <v>1.25</v>
      </c>
      <c r="AP10" s="123">
        <f>AO10*10000000+BI10*100+AM10/AM12*10+AI10/AI12*1++IF(AQ10=0,ROW(),AQ10)/2000000</f>
        <v>12500000.334127665</v>
      </c>
      <c r="AQ10" s="126">
        <f>VLOOKUP(AE10,db_fifarank,2,FALSE)</f>
        <v>1588.66</v>
      </c>
      <c r="AR10" s="125">
        <f>AP10/AP12</f>
        <v>0.14285712944081397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4 - 3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4</v>
      </c>
      <c r="AL11" s="123">
        <f>AI11-AJ11</f>
        <v>1</v>
      </c>
      <c r="AM11" s="123">
        <f>AL11-AL12</f>
        <v>6</v>
      </c>
      <c r="AN11" s="123">
        <f>AF11*3+AG11</f>
        <v>6</v>
      </c>
      <c r="AO11" s="123">
        <f>AN11/AN12*10+BA11</f>
        <v>7.5</v>
      </c>
      <c r="AP11" s="123">
        <f>AO11*10000000+BI11*100+AM11/AM12*10+AI11/AI12*1++IF(AQ11=0,ROW(),AQ11)/2000000</f>
        <v>75000007.500750691</v>
      </c>
      <c r="AQ11" s="126">
        <f>VLOOKUP(AE11,db_fifarank,2,FALSE)</f>
        <v>1501.38</v>
      </c>
      <c r="AR11" s="125">
        <f>AP11/AP12</f>
        <v>0.85714283945613001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1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2 - 7</v>
      </c>
      <c r="P12" s="37">
        <f>L12*3+M12</f>
        <v>1</v>
      </c>
      <c r="R12" s="123">
        <f>DATE(2026,6,13)+TIME(17,0,0)+gmt_delta</f>
        <v>46187.166666666672</v>
      </c>
      <c r="S12" s="127" t="str">
        <f t="shared" si="1"/>
        <v>Australia_draw</v>
      </c>
      <c r="T12" s="127" t="str">
        <f t="shared" si="2"/>
        <v>Turkey_draw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0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6</v>
      </c>
      <c r="AL12" s="123">
        <f>MIN(AL8:AL11)</f>
        <v>-5</v>
      </c>
      <c r="AM12" s="123">
        <f>MAX(AM8:AM11)+1</f>
        <v>9</v>
      </c>
      <c r="AN12" s="123">
        <f>MAX(AN8:AN11)+1</f>
        <v>8</v>
      </c>
      <c r="AO12" s="123">
        <f>MAX(AO8:AO11)+1</f>
        <v>9.75</v>
      </c>
      <c r="AP12" s="123">
        <f>MAX(AP8:AP11)+1</f>
        <v>87500010.556396082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2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2000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3</v>
      </c>
      <c r="G13" s="20">
        <v>3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3</v>
      </c>
      <c r="W13" s="123">
        <f t="shared" si="4"/>
        <v>3</v>
      </c>
      <c r="X13" s="123">
        <f t="shared" si="9"/>
        <v>1</v>
      </c>
      <c r="Y13" s="123">
        <f t="shared" si="10"/>
        <v>3</v>
      </c>
      <c r="Z13" s="123">
        <f t="shared" si="11"/>
        <v>3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4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6</v>
      </c>
      <c r="AJ14" s="123">
        <f>SUMIF($E$7:$E$78,$AE14,$G$7:$G$78) + SUMIF($H$7:$H$78,$AE14,$F$7:$F$78)</f>
        <v>4</v>
      </c>
      <c r="AL14" s="123">
        <f>AI14-AJ14</f>
        <v>2</v>
      </c>
      <c r="AM14" s="123">
        <f>AL14-AL18</f>
        <v>8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60000005.54623279</v>
      </c>
      <c r="AQ14" s="126">
        <f>VLOOKUP(AE14,db_fifarank,2,FALSE)</f>
        <v>1556.48</v>
      </c>
      <c r="AR14" s="125">
        <f>AP14/AP18</f>
        <v>0.66666664469951076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2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2000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2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10 - 1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2</v>
      </c>
      <c r="W15" s="123">
        <f t="shared" si="4"/>
        <v>2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7</v>
      </c>
      <c r="AL15" s="123">
        <f>AI15-AJ15</f>
        <v>-6</v>
      </c>
      <c r="AM15" s="123">
        <f>AL15-AL18</f>
        <v>0</v>
      </c>
      <c r="AN15" s="123">
        <f>AF15*3+AG15</f>
        <v>1</v>
      </c>
      <c r="AO15" s="123">
        <f>AN15/AN18*10+BA15</f>
        <v>1.9803921568627452</v>
      </c>
      <c r="AP15" s="123">
        <f>AO15*10000000+BI15*100+AM15/AM18*10+AI15/AI18*1++IF(AQ15=0,ROW(),AQ15)/2000000</f>
        <v>19804019.699445147</v>
      </c>
      <c r="AQ15" s="126">
        <f>VLOOKUP(AE15,db_fifarank,2,FALSE)</f>
        <v>1385.84</v>
      </c>
      <c r="AR15" s="125">
        <f>AP15/AP18</f>
        <v>0.22004463573622224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1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50</v>
      </c>
      <c r="BA15" s="126">
        <f>AZ15/AZ18</f>
        <v>0.98039215686274506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1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50</v>
      </c>
      <c r="BI15" s="126">
        <f>BH15/BH18</f>
        <v>0.98039215686274506</v>
      </c>
      <c r="BK15" s="142"/>
      <c r="BL15" s="26" t="str">
        <f>IF(group_round_completed,VLOOKUP('3rd places'!I3,AK80:AS91,9,FALSE),"3rd Group C/D/F/G/H")</f>
        <v>Australia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6 - 4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1</v>
      </c>
      <c r="AH16" s="123">
        <f>COUNTIF($S$7:$T$78,"=" &amp; AE16 &amp; "_lose")</f>
        <v>2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1</v>
      </c>
      <c r="AN16" s="123">
        <f>AF16*3+AG16</f>
        <v>1</v>
      </c>
      <c r="AO16" s="123">
        <f>AN16/AN18*10+BA16</f>
        <v>1.9803921568627452</v>
      </c>
      <c r="AP16" s="123">
        <f>AO16*10000000+BI16*100+AM16/AM18*10+AI16/AI18*1++IF(AQ16=0,ROW(),AQ16)/2000000</f>
        <v>19804020.233570617</v>
      </c>
      <c r="AQ16" s="126">
        <f>VLOOKUP(AE16,db_fifarank,2,FALSE)</f>
        <v>1454.96</v>
      </c>
      <c r="AR16" s="125">
        <f>AP16/AP18</f>
        <v>0.22004464167094895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1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50</v>
      </c>
      <c r="BA16" s="126">
        <f>AZ16/AZ18</f>
        <v>0.98039215686274506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1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50</v>
      </c>
      <c r="BI16" s="126">
        <f>BH16/BH18</f>
        <v>0.98039215686274506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Germany</v>
      </c>
      <c r="CA16" s="61">
        <v>2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2000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1</v>
      </c>
      <c r="N17" s="23">
        <f>VLOOKUP(3,AD14:AN17,5,FALSE)</f>
        <v>2</v>
      </c>
      <c r="O17" s="23" t="str">
        <f>VLOOKUP(3,AD14:AN17,6,FALSE) &amp; " - " &amp; VLOOKUP(3,AD14:AN17,7,FALSE)</f>
        <v>0 - 5</v>
      </c>
      <c r="P17" s="34">
        <f>L17*3+M17</f>
        <v>1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10</v>
      </c>
      <c r="AJ17" s="123">
        <f>SUMIF($E$7:$E$78,$AE17,$G$7:$G$78) + SUMIF($H$7:$H$78,$AE17,$F$7:$F$78)</f>
        <v>1</v>
      </c>
      <c r="AL17" s="123">
        <f>AI17-AJ17</f>
        <v>9</v>
      </c>
      <c r="AM17" s="123">
        <f>AL17-AL18</f>
        <v>15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90000010.284915611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1 - 7</v>
      </c>
      <c r="P18" s="37">
        <f>L18*3+M18</f>
        <v>1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4</v>
      </c>
      <c r="AG18" s="123">
        <f t="shared" si="13"/>
        <v>2</v>
      </c>
      <c r="AH18" s="123">
        <f t="shared" si="13"/>
        <v>3</v>
      </c>
      <c r="AI18" s="123">
        <f>MAX(AI14:AI17)+1</f>
        <v>11</v>
      </c>
      <c r="AL18" s="123">
        <f>MIN(AL14:AL17)</f>
        <v>-6</v>
      </c>
      <c r="AM18" s="123">
        <f>MAX(AM14:AM17)+1</f>
        <v>16</v>
      </c>
      <c r="AN18" s="123">
        <f>MAX(AN14:AN17)+1</f>
        <v>10</v>
      </c>
      <c r="AO18" s="123">
        <f>MAX(AO14:AO17)+1</f>
        <v>10</v>
      </c>
      <c r="AP18" s="123">
        <f>MAX(AP14:AP17)+1</f>
        <v>90000011.284915611</v>
      </c>
      <c r="AT18" s="126">
        <f>MAX(AT14:AT17)-MIN(AT14:AT17)+1</f>
        <v>1</v>
      </c>
      <c r="AU18" s="126">
        <f>MAX(AU14:AU17)-MIN(AU14:AU17)+1</f>
        <v>2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51</v>
      </c>
      <c r="BB18" s="126">
        <f>MAX(BB14:BB17)-MIN(BB14:BB17)+1</f>
        <v>1</v>
      </c>
      <c r="BC18" s="126">
        <f>MAX(BC14:BC17)-MIN(BC14:BC17)+1</f>
        <v>2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51</v>
      </c>
      <c r="BK18" s="141">
        <v>73</v>
      </c>
      <c r="BL18" s="24" t="str">
        <f>AS9</f>
        <v>Czech Republic</v>
      </c>
      <c r="BM18" s="61">
        <v>1</v>
      </c>
      <c r="BN18" s="63">
        <v>1</v>
      </c>
      <c r="BO18" s="25">
        <v>5</v>
      </c>
      <c r="BP18" s="112">
        <f>IF(OR(BM18="",BM19="",AND(BN18="",BN19&lt;&gt;""),AND(BN19="",BN18&lt;&gt;""),AND(BO18="",BO19&lt;&gt;""),AND(BO19="",BO18&lt;&gt;"")),"",BM18*1000+BN18*10+BO18)</f>
        <v>1015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3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>
        <v>3</v>
      </c>
      <c r="BP19" s="113">
        <f>IF(BP18="","",BM19*1000+BN19*10+BO19)</f>
        <v>1013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1</v>
      </c>
      <c r="AG20" s="123">
        <f>COUNTIF($S$7:$T$78,"=" &amp; AE20 &amp; "_draw")</f>
        <v>2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5</v>
      </c>
      <c r="AL20" s="123">
        <f>AI20-AJ20</f>
        <v>5</v>
      </c>
      <c r="AM20" s="123">
        <f>AL20-AL24</f>
        <v>18</v>
      </c>
      <c r="AN20" s="123">
        <f>AF20*3+AG20</f>
        <v>5</v>
      </c>
      <c r="AO20" s="123">
        <f>AN20/AN24*10+BA20</f>
        <v>9.3187347931873479</v>
      </c>
      <c r="AP20" s="123">
        <f>AO20*10000000+BI20*100+AM20/AM24*10+AI20/AI24*1++IF(AQ20=0,ROW(),AQ20)/2000000</f>
        <v>93187456.383162037</v>
      </c>
      <c r="AQ20" s="126">
        <f>VLOOKUP(AE20,db_fifarank,2,FALSE)</f>
        <v>1761.16</v>
      </c>
      <c r="AR20" s="125">
        <f>AP20/AP24</f>
        <v>0.99999998926894207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2</v>
      </c>
      <c r="AV20" s="126" cm="1">
        <f t="array" ref="AV20">SUMPRODUCT(($E$7:$E$78=AE20)*($U$7:$U$78)*($F$7:$F$78))+SUMPRODUCT(($H$7:$H$78=AE20)*($U$7:$U$78)*($G$7:$G$78))</f>
        <v>5</v>
      </c>
      <c r="AW20" s="126" cm="1">
        <f t="array" ref="AW20">SUMPRODUCT(($E$7:$E$78=AE20)*($U$7:$U$78)*($G$7:$G$78))+SUMPRODUCT(($H$7:$H$78=AE20)*($U$7:$U$78)*($F$7:$F$78))</f>
        <v>5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67.499999999999986</v>
      </c>
      <c r="BA20" s="126">
        <f>AZ20/AZ24</f>
        <v>0.98540145985401462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3</v>
      </c>
      <c r="BE20" s="126" cm="1">
        <f t="array" ref="BE20">SUMPRODUCT(($E$7:$E$78=AE20)*($X$7:$X$78)*($G$7:$G$78))+SUMPRODUCT(($H$7:$H$78=AE20)*($X$7:$X$78)*($F$7:$F$78))</f>
        <v>3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50.75</v>
      </c>
      <c r="BI20" s="126">
        <f>BH20/BH24</f>
        <v>0.98067632850241548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3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1</v>
      </c>
      <c r="M21" s="31">
        <f>VLOOKUP(1,AD20:AN23,4,FALSE)</f>
        <v>2</v>
      </c>
      <c r="N21" s="31">
        <f>VLOOKUP(1,AD20:AN23,5,FALSE)</f>
        <v>0</v>
      </c>
      <c r="O21" s="31" t="str">
        <f>VLOOKUP(1,AD20:AN23,6,FALSE) &amp; " - " &amp; VLOOKUP(1,AD20:AN23,7,FALSE)</f>
        <v>10 - 5</v>
      </c>
      <c r="P21" s="32">
        <f>L21*3+M21</f>
        <v>5</v>
      </c>
      <c r="R21" s="123">
        <f>DATE(2026,6,15)+TIME(14,0,0)+gmt_delta</f>
        <v>46189.041666666672</v>
      </c>
      <c r="S21" s="127" t="str">
        <f t="shared" si="1"/>
        <v>Iran_lose</v>
      </c>
      <c r="T21" s="127" t="str">
        <f t="shared" si="2"/>
        <v>New Zealand_win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-1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2</v>
      </c>
      <c r="AH21" s="123">
        <f>COUNTIF($S$7:$T$78,"=" &amp; AE21 &amp; "_lose")</f>
        <v>0</v>
      </c>
      <c r="AI21" s="123">
        <f>SUMIF($E$7:$E$78,$AE21,$F$7:$F$78) + SUMIF($H$7:$H$78,$AE21,$G$7:$G$78)</f>
        <v>10</v>
      </c>
      <c r="AJ21" s="123">
        <f>SUMIF($E$7:$E$78,$AE21,$G$7:$G$78) + SUMIF($H$7:$H$78,$AE21,$F$7:$F$78)</f>
        <v>5</v>
      </c>
      <c r="AL21" s="123">
        <f>AI21-AJ21</f>
        <v>5</v>
      </c>
      <c r="AM21" s="123">
        <f>AL21-AL24</f>
        <v>18</v>
      </c>
      <c r="AN21" s="123">
        <f>AF21*3+AG21</f>
        <v>5</v>
      </c>
      <c r="AO21" s="123">
        <f>AN21/AN24*10+BA21</f>
        <v>9.3187347931873479</v>
      </c>
      <c r="AP21" s="123">
        <f>AO21*10000000+BI21*100+AM21/AM24*10+AI21/AI24*1++IF(AQ21=0,ROW(),AQ21)/2000000</f>
        <v>93187456.383159384</v>
      </c>
      <c r="AQ21" s="126">
        <f>VLOOKUP(AE21,db_fifarank,2,FALSE)</f>
        <v>1755.87</v>
      </c>
      <c r="AR21" s="125">
        <f>AP21/AP24</f>
        <v>0.99999998926891365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2</v>
      </c>
      <c r="AV21" s="126" cm="1">
        <f t="array" ref="AV21">SUMPRODUCT(($E$7:$E$78=AE21)*($U$7:$U$78)*($F$7:$F$78))+SUMPRODUCT(($H$7:$H$78=AE21)*($U$7:$U$78)*($G$7:$G$78))</f>
        <v>5</v>
      </c>
      <c r="AW21" s="126" cm="1">
        <f t="array" ref="AW21">SUMPRODUCT(($E$7:$E$78=AE21)*($U$7:$U$78)*($G$7:$G$78))+SUMPRODUCT(($H$7:$H$78=AE21)*($U$7:$U$78)*($F$7:$F$78))</f>
        <v>5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67.499999999999986</v>
      </c>
      <c r="BA21" s="126">
        <f>AZ21/AZ24</f>
        <v>0.98540145985401462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3</v>
      </c>
      <c r="BE21" s="126" cm="1">
        <f t="array" ref="BE21">SUMPRODUCT(($E$7:$E$78=AE21)*($X$7:$X$78)*($G$7:$G$78))+SUMPRODUCT(($H$7:$H$78=AE21)*($X$7:$X$78)*($F$7:$F$78))</f>
        <v>3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50.75</v>
      </c>
      <c r="BI21" s="126">
        <f>BH21/BH24</f>
        <v>0.98067632850241548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2</v>
      </c>
      <c r="N22" s="23">
        <f>VLOOKUP(2,AD20:AN23,5,FALSE)</f>
        <v>0</v>
      </c>
      <c r="O22" s="23" t="str">
        <f>VLOOKUP(2,AD20:AN23,6,FALSE) &amp; " - " &amp; VLOOKUP(2,AD20:AN23,7,FALSE)</f>
        <v>10 - 5</v>
      </c>
      <c r="P22" s="34">
        <f>L22*3+M22</f>
        <v>5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13</v>
      </c>
      <c r="AL22" s="123">
        <f>AI22-AJ22</f>
        <v>-13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6.9307073949277957E-12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2000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4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2</v>
      </c>
      <c r="N23" s="23">
        <f>VLOOKUP(3,AD20:AN23,5,FALSE)</f>
        <v>0</v>
      </c>
      <c r="O23" s="23" t="str">
        <f>VLOOKUP(3,AD20:AN23,6,FALSE) &amp; " - " &amp; VLOOKUP(3,AD20:AN23,7,FALSE)</f>
        <v>7 - 4</v>
      </c>
      <c r="P23" s="34">
        <f>L23*3+M23</f>
        <v>5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2</v>
      </c>
      <c r="AH23" s="123">
        <f>COUNTIF($S$7:$T$78,"=" &amp; AE23 &amp; "_lose")</f>
        <v>0</v>
      </c>
      <c r="AI23" s="123">
        <f>SUMIF($E$7:$E$78,$AE23,$F$7:$F$78) + SUMIF($H$7:$H$78,$AE23,$G$7:$G$78)</f>
        <v>7</v>
      </c>
      <c r="AJ23" s="123">
        <f>SUMIF($E$7:$E$78,$AE23,$G$7:$G$78) + SUMIF($H$7:$H$78,$AE23,$F$7:$F$78)</f>
        <v>4</v>
      </c>
      <c r="AL23" s="123">
        <f>AI23-AJ23</f>
        <v>3</v>
      </c>
      <c r="AM23" s="123">
        <f>AL23-AL24</f>
        <v>16</v>
      </c>
      <c r="AN23" s="123">
        <f>AF23*3+AG23</f>
        <v>5</v>
      </c>
      <c r="AO23" s="123">
        <f>AN23/AN24*10+BA23</f>
        <v>9.3163017031630169</v>
      </c>
      <c r="AP23" s="123">
        <f>AO23*10000000+BI23*100+AM23/AM24*10+AI23/AI24*1++IF(AQ23=0,ROW(),AQ23)/2000000</f>
        <v>93163026.089795619</v>
      </c>
      <c r="AQ23" s="126">
        <f>VLOOKUP(AE23,db_fifarank,2,FALSE)</f>
        <v>1498.35</v>
      </c>
      <c r="AR23" s="125">
        <f>AP23/AP24</f>
        <v>0.9997378263765051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2</v>
      </c>
      <c r="AV23" s="126" cm="1">
        <f t="array" ref="AV23">SUMPRODUCT(($E$7:$E$78=AE23)*($U$7:$U$78)*($F$7:$F$78))+SUMPRODUCT(($H$7:$H$78=AE23)*($U$7:$U$78)*($G$7:$G$78))</f>
        <v>4</v>
      </c>
      <c r="AW23" s="126" cm="1">
        <f t="array" ref="AW23">SUMPRODUCT(($E$7:$E$78=AE23)*($U$7:$U$78)*($G$7:$G$78))+SUMPRODUCT(($H$7:$H$78=AE23)*($U$7:$U$78)*($F$7:$F$78))</f>
        <v>4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67.333333333333329</v>
      </c>
      <c r="BA23" s="126">
        <f>AZ23/AZ24</f>
        <v>0.98296836982968383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Germany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0 - 13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2</v>
      </c>
      <c r="AG24" s="123">
        <f t="shared" si="14"/>
        <v>3</v>
      </c>
      <c r="AH24" s="123">
        <f t="shared" si="14"/>
        <v>4</v>
      </c>
      <c r="AI24" s="123">
        <f>MAX(AI20:AI23)+1</f>
        <v>11</v>
      </c>
      <c r="AL24" s="123">
        <f>MIN(AL20:AL23)</f>
        <v>-13</v>
      </c>
      <c r="AM24" s="123">
        <f>MAX(AM20:AM23)+1</f>
        <v>19</v>
      </c>
      <c r="AN24" s="123">
        <f>MAX(AN20:AN23)+1</f>
        <v>6</v>
      </c>
      <c r="AO24" s="123">
        <f>MAX(AO20:AO23)+1</f>
        <v>10.318734793187348</v>
      </c>
      <c r="AP24" s="123">
        <f>MAX(AP20:AP23)+1</f>
        <v>93187457.383162037</v>
      </c>
      <c r="AT24" s="126">
        <f>MAX(AT20:AT23)-MIN(AT20:AT23)+1</f>
        <v>1</v>
      </c>
      <c r="AU24" s="126">
        <f>MAX(AU20:AU23)-MIN(AU20:AU23)+1</f>
        <v>3</v>
      </c>
      <c r="AV24" s="126">
        <f>MAX(AV20:AV23)-MIN(AV20:AV23)+1</f>
        <v>6</v>
      </c>
      <c r="AW24" s="126">
        <f>MAX(AW20:AW23)-MIN(AW20:AW23)+1</f>
        <v>6</v>
      </c>
      <c r="AY24" s="126">
        <f>MAX(AY20:AY23)-MIN(AY20:AY23)+1</f>
        <v>1</v>
      </c>
      <c r="AZ24" s="126">
        <f>MAX(AZ20:AZ23)+1</f>
        <v>68.499999999999986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4</v>
      </c>
      <c r="BE24" s="126">
        <f>MAX(BE20:BE23)-MIN(BE20:BE23)+1</f>
        <v>4</v>
      </c>
      <c r="BG24" s="126">
        <f>MAX(BG20:BG23)-MIN(BG20:BG23)+1</f>
        <v>1</v>
      </c>
      <c r="BH24" s="126">
        <f>MAX(BH20:BH23)+1</f>
        <v>51.75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3</v>
      </c>
      <c r="AL26" s="123">
        <f>AI26-AJ26</f>
        <v>3</v>
      </c>
      <c r="AM26" s="123">
        <f>AL26-AL30</f>
        <v>9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87500009.857979417</v>
      </c>
      <c r="AQ26" s="126">
        <f>VLOOKUP(AE26,db_fifarank,2,FALSE)</f>
        <v>1673.13</v>
      </c>
      <c r="AR26" s="125">
        <f>AP26/AP30</f>
        <v>0.99999998857143002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6 - 3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1</v>
      </c>
      <c r="V27" s="123">
        <f t="shared" si="3"/>
        <v>0</v>
      </c>
      <c r="W27" s="123">
        <f t="shared" si="4"/>
        <v>0</v>
      </c>
      <c r="X27" s="123">
        <f t="shared" si="9"/>
        <v>1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8</v>
      </c>
      <c r="AL27" s="123">
        <f>AI27-AJ27</f>
        <v>-6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12500000.286466036</v>
      </c>
      <c r="AQ27" s="126">
        <f>VLOOKUP(AE27,db_fifarank,2,FALSE)</f>
        <v>1503.5</v>
      </c>
      <c r="AR27" s="125">
        <f>AP27/AP30</f>
        <v>0.14285712840372888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6 - 3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3</v>
      </c>
      <c r="AH28" s="123">
        <f>COUNTIF($S$7:$T$78,"=" &amp; AE28 &amp; "_lose")</f>
        <v>0</v>
      </c>
      <c r="AI28" s="123">
        <f>SUMIF($E$7:$E$78,$AE28,$F$7:$F$78) + SUMIF($H$7:$H$78,$AE28,$G$7:$G$78)</f>
        <v>5</v>
      </c>
      <c r="AJ28" s="123">
        <f>SUMIF($E$7:$E$78,$AE28,$G$7:$G$78) + SUMIF($H$7:$H$78,$AE28,$F$7:$F$78)</f>
        <v>5</v>
      </c>
      <c r="AL28" s="123">
        <f>AI28-AJ28</f>
        <v>0</v>
      </c>
      <c r="AM28" s="123">
        <f>AL28-AL30</f>
        <v>6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37500006.715076052</v>
      </c>
      <c r="AQ28" s="126">
        <f>VLOOKUP(AE28,db_fifarank,2,FALSE)</f>
        <v>1580.67</v>
      </c>
      <c r="AR28" s="125">
        <f>AP28/AP30</f>
        <v>0.42857145213321196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5 - 5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3</v>
      </c>
      <c r="AL29" s="123">
        <f>AI29-AJ29</f>
        <v>3</v>
      </c>
      <c r="AM29" s="123">
        <f>AL29-AL30</f>
        <v>9</v>
      </c>
      <c r="AN29" s="123">
        <f>AF29*3+AG29</f>
        <v>4</v>
      </c>
      <c r="AO29" s="123">
        <f>AN29/AN30*10+BA29</f>
        <v>5</v>
      </c>
      <c r="AP29" s="123">
        <f>AO29*10000000+BI29*100+AM29/AM30*10+AI29/AI30*1++IF(AQ29=0,ROW(),AQ29)/2000000</f>
        <v>50000009.85794238</v>
      </c>
      <c r="AQ29" s="126">
        <f>VLOOKUP(AE29,db_fifarank,2,FALSE)</f>
        <v>1599.04</v>
      </c>
      <c r="AR29" s="125">
        <f>AP29/AP30</f>
        <v>0.5714286131815115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2 - 8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-6</v>
      </c>
      <c r="AM30" s="123">
        <f>MAX(AM26:AM29)+1</f>
        <v>10</v>
      </c>
      <c r="AN30" s="123">
        <f>MAX(AN26:AN29)+1</f>
        <v>8</v>
      </c>
      <c r="AO30" s="123">
        <f>MAX(AO26:AO29)+1</f>
        <v>9.75</v>
      </c>
      <c r="AP30" s="123">
        <f>MAX(AP26:AP29)+1</f>
        <v>87500010.857979417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Austria</v>
      </c>
      <c r="BM31" s="62">
        <v>1</v>
      </c>
      <c r="BN31" s="64"/>
      <c r="BO31" s="27"/>
      <c r="BP31" s="112">
        <f>IF(BP30="","",BM31*1000+BN31*10+BO31)</f>
        <v>1000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13</v>
      </c>
      <c r="AJ32" s="123">
        <f>SUMIF($E$7:$E$78,$AE32,$G$7:$G$78) + SUMIF($H$7:$H$78,$AE32,$F$7:$F$78)</f>
        <v>0</v>
      </c>
      <c r="AL32" s="123">
        <f>AI32-AJ32</f>
        <v>13</v>
      </c>
      <c r="AM32" s="123">
        <f>AL32-AL36</f>
        <v>19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90000010.429436624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13 - 0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2</v>
      </c>
      <c r="AH33" s="123">
        <f>COUNTIF($S$7:$T$78,"=" &amp; AE33 &amp; "_lose")</f>
        <v>1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5</v>
      </c>
      <c r="AL33" s="123">
        <f>AI33-AJ33</f>
        <v>-4</v>
      </c>
      <c r="AM33" s="123">
        <f>AL33-AL36</f>
        <v>2</v>
      </c>
      <c r="AN33" s="123">
        <f>AF33*3+AG33</f>
        <v>2</v>
      </c>
      <c r="AO33" s="123">
        <f>AN33/AN36*10+BA33</f>
        <v>2.9780755176613884</v>
      </c>
      <c r="AP33" s="123">
        <f>AO33*10000000+BI33*100+AM33/AM36*10+AI33/AI36*1++IF(AQ33=0,ROW(),AQ33)/2000000</f>
        <v>29780756.248689782</v>
      </c>
      <c r="AQ33" s="126">
        <f>VLOOKUP(AE33,db_fifarank,2,FALSE)</f>
        <v>1294.6500000000001</v>
      </c>
      <c r="AR33" s="125">
        <f>AP33/AP36</f>
        <v>0.33089724963022932</v>
      </c>
      <c r="AS33" s="125" t="str">
        <f>IF(SUM(AF32:AH35)=12,J34,"2E")</f>
        <v>Ivory Coast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2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66.916666666666657</v>
      </c>
      <c r="BA33" s="126">
        <f>AZ33/AZ36</f>
        <v>0.97807551766138856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Ivory Coast</v>
      </c>
      <c r="K34" s="23">
        <f>L34+M34+N34</f>
        <v>3</v>
      </c>
      <c r="L34" s="23">
        <f>VLOOKUP(2,AD32:AN35,3,FALSE)</f>
        <v>0</v>
      </c>
      <c r="M34" s="23">
        <f>VLOOKUP(2,AD32:AN35,4,FALSE)</f>
        <v>2</v>
      </c>
      <c r="N34" s="23">
        <f>VLOOKUP(2,AD32:AN35,5,FALSE)</f>
        <v>1</v>
      </c>
      <c r="O34" s="23" t="str">
        <f>VLOOKUP(2,AD32:AN35,6,FALSE) &amp; " - " &amp; VLOOKUP(2,AD32:AN35,7,FALSE)</f>
        <v>3 - 9</v>
      </c>
      <c r="P34" s="34">
        <f>L34*3+M34</f>
        <v>2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2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2</v>
      </c>
      <c r="AH34" s="123">
        <f>COUNTIF($S$7:$T$78,"=" &amp; AE34 &amp; "_lose")</f>
        <v>1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9</v>
      </c>
      <c r="AL34" s="123">
        <f>AI34-AJ34</f>
        <v>-6</v>
      </c>
      <c r="AM34" s="123">
        <f>AL34-AL36</f>
        <v>0</v>
      </c>
      <c r="AN34" s="123">
        <f>AF34*3+AG34</f>
        <v>2</v>
      </c>
      <c r="AO34" s="123">
        <f>AN34/AN36*10+BA34</f>
        <v>2.9853836784409258</v>
      </c>
      <c r="AP34" s="123">
        <f>AO34*10000000+BI34*100+AM34/AM36*10+AI34/AI36*1++IF(AQ34=0,ROW(),AQ34)/2000000</f>
        <v>29853836.999461461</v>
      </c>
      <c r="AQ34" s="126">
        <f>VLOOKUP(AE34,db_fifarank,2,FALSE)</f>
        <v>1532.98</v>
      </c>
      <c r="AR34" s="125">
        <f>AP34/AP36</f>
        <v>0.33170925786901689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2</v>
      </c>
      <c r="AV34" s="126" cm="1">
        <f t="array" ref="AV34">SUMPRODUCT(($E$7:$E$78=AE34)*($U$7:$U$78)*($F$7:$F$78))+SUMPRODUCT(($H$7:$H$78=AE34)*($U$7:$U$78)*($G$7:$G$78))</f>
        <v>3</v>
      </c>
      <c r="AW34" s="126" cm="1">
        <f t="array" ref="AW34">SUMPRODUCT(($E$7:$E$78=AE34)*($U$7:$U$78)*($G$7:$G$78))+SUMPRODUCT(($H$7:$H$78=AE34)*($U$7:$U$78)*($F$7:$F$78))</f>
        <v>3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67.416666666666657</v>
      </c>
      <c r="BA34" s="126">
        <f>AZ34/AZ36</f>
        <v>0.98538367844092567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>
        <v>1</v>
      </c>
      <c r="BO34" s="25"/>
      <c r="BP34" s="112">
        <f>IF(OR(BM34="",BM35="",AND(BN34="",BN35&lt;&gt;""),AND(BN35="",BN34&lt;&gt;""),AND(BO34="",BO35&lt;&gt;""),AND(BO35="",BO34&lt;&gt;"")),"",BM34*1000+BN34*10+BO34)</f>
        <v>1010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5</v>
      </c>
      <c r="G35" s="20">
        <v>0</v>
      </c>
      <c r="H35" s="80" t="str">
        <f>AE22</f>
        <v>Haiti</v>
      </c>
      <c r="J35" s="33" t="str">
        <f>VLOOKUP(3,AD32:AN35,2,FALSE)</f>
        <v>Ecuador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2 - 5</v>
      </c>
      <c r="P35" s="34">
        <f>L35*3+M35</f>
        <v>2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3</v>
      </c>
      <c r="AE35" s="124" t="str">
        <f>VLOOKUP("Ecuador",T,lang,FALSE)</f>
        <v>Ecuador</v>
      </c>
      <c r="AF35" s="123">
        <f>COUNTIF($S$7:$T$78,"=" &amp; AE35 &amp; "_win")</f>
        <v>0</v>
      </c>
      <c r="AG35" s="123">
        <f>COUNTIF($S$7:$T$78,"=" &amp; AE35 &amp; "_draw")</f>
        <v>2</v>
      </c>
      <c r="AH35" s="123">
        <f>COUNTIF($S$7:$T$78,"=" &amp; AE35 &amp; "_lose")</f>
        <v>1</v>
      </c>
      <c r="AI35" s="123">
        <f>SUMIF($E$7:$E$78,$AE35,$F$7:$F$78) + SUMIF($H$7:$H$78,$AE35,$G$7:$G$78)</f>
        <v>2</v>
      </c>
      <c r="AJ35" s="123">
        <f>SUMIF($E$7:$E$78,$AE35,$G$7:$G$78) + SUMIF($H$7:$H$78,$AE35,$F$7:$F$78)</f>
        <v>5</v>
      </c>
      <c r="AL35" s="123">
        <f>AI35-AJ35</f>
        <v>-3</v>
      </c>
      <c r="AM35" s="123">
        <f>AL35-AL36</f>
        <v>3</v>
      </c>
      <c r="AN35" s="123">
        <f>AF35*3+AG35</f>
        <v>2</v>
      </c>
      <c r="AO35" s="123">
        <f>AN35/AN36*10+BA35</f>
        <v>2.9817295980511571</v>
      </c>
      <c r="AP35" s="123">
        <f>AO35*10000000+BI35*100+AM35/AM36*10+AI35/AI36*1++IF(AQ35=0,ROW(),AQ35)/2000000</f>
        <v>29817297.624166105</v>
      </c>
      <c r="AQ35" s="126">
        <f>VLOOKUP(AE35,db_fifarank,2,FALSE)</f>
        <v>1594.78</v>
      </c>
      <c r="AR35" s="125">
        <f>AP35/AP36</f>
        <v>0.33130326486173817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2</v>
      </c>
      <c r="AV35" s="126" cm="1">
        <f t="array" ref="AV35">SUMPRODUCT(($E$7:$E$78=AE35)*($U$7:$U$78)*($F$7:$F$78))+SUMPRODUCT(($H$7:$H$78=AE35)*($U$7:$U$78)*($G$7:$G$78))</f>
        <v>2</v>
      </c>
      <c r="AW35" s="126" cm="1">
        <f t="array" ref="AW35">SUMPRODUCT(($E$7:$E$78=AE35)*($U$7:$U$78)*($G$7:$G$78))+SUMPRODUCT(($H$7:$H$78=AE35)*($U$7:$U$78)*($F$7:$F$78))</f>
        <v>2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67.166666666666657</v>
      </c>
      <c r="BA35" s="126">
        <f>AZ35/AZ36</f>
        <v>0.98172959805115712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Sweden</v>
      </c>
      <c r="BM35" s="62">
        <v>1</v>
      </c>
      <c r="BN35" s="64">
        <v>2</v>
      </c>
      <c r="BO35" s="27"/>
      <c r="BP35" s="113">
        <f>IF(BP34="","",BM35*1000+BN35*10+BO35)</f>
        <v>1020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2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2</v>
      </c>
      <c r="N36" s="36">
        <f>VLOOKUP(4,AD32:AN35,5,FALSE)</f>
        <v>1</v>
      </c>
      <c r="O36" s="36" t="str">
        <f>VLOOKUP(4,AD32:AN35,6,FALSE) &amp; " - " &amp; VLOOKUP(4,AD32:AN35,7,FALSE)</f>
        <v>1 - 5</v>
      </c>
      <c r="P36" s="37">
        <f>L36*3+M36</f>
        <v>2</v>
      </c>
      <c r="R36" s="123">
        <f>DATE(2026,6,19)+TIME(11,0,0)+gmt_delta</f>
        <v>46192.916666666672</v>
      </c>
      <c r="S36" s="127" t="str">
        <f t="shared" si="1"/>
        <v>Scotland_draw</v>
      </c>
      <c r="T36" s="127" t="str">
        <f t="shared" si="2"/>
        <v>Morocco_draw</v>
      </c>
      <c r="U36" s="123">
        <f t="shared" si="8"/>
        <v>1</v>
      </c>
      <c r="V36" s="123">
        <f t="shared" si="3"/>
        <v>2</v>
      </c>
      <c r="W36" s="123">
        <f t="shared" si="4"/>
        <v>2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0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2</v>
      </c>
      <c r="AI36" s="123">
        <f>MAX(AI32:AI35)+1</f>
        <v>14</v>
      </c>
      <c r="AL36" s="123">
        <f>MIN(AL32:AL35)</f>
        <v>-6</v>
      </c>
      <c r="AM36" s="123">
        <f>MAX(AM32:AM35)+1</f>
        <v>20</v>
      </c>
      <c r="AN36" s="123">
        <f>MAX(AN32:AN35)+1</f>
        <v>10</v>
      </c>
      <c r="AO36" s="123">
        <f>MAX(AO32:AO35)+1</f>
        <v>10</v>
      </c>
      <c r="AP36" s="123">
        <f>MAX(AP32:AP35)+1</f>
        <v>90000011.429436624</v>
      </c>
      <c r="AT36" s="126">
        <f>MAX(AT32:AT35)-MIN(AT32:AT35)+1</f>
        <v>1</v>
      </c>
      <c r="AU36" s="126">
        <f>MAX(AU32:AU35)-MIN(AU32:AU35)+1</f>
        <v>3</v>
      </c>
      <c r="AV36" s="126">
        <f>MAX(AV32:AV35)-MIN(AV32:AV35)+1</f>
        <v>4</v>
      </c>
      <c r="AW36" s="126">
        <f>MAX(AW32:AW35)-MIN(AW32:AW35)+1</f>
        <v>4</v>
      </c>
      <c r="AY36" s="126">
        <f>MAX(AY32:AY35)-MIN(AY32:AY35)+1</f>
        <v>1</v>
      </c>
      <c r="AZ36" s="126">
        <f>MAX(AZ32:AZ35)+1</f>
        <v>68.416666666666657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Sweden</v>
      </c>
      <c r="BT36" s="61">
        <v>0</v>
      </c>
      <c r="BU36" s="63">
        <v>0</v>
      </c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0</v>
      </c>
      <c r="BU37" s="64">
        <v>1</v>
      </c>
      <c r="BV37" s="27"/>
      <c r="BW37" s="112">
        <f>IF(BW36="","",BT37*1000+BU37*10+BV37)</f>
        <v>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2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2000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4</v>
      </c>
      <c r="G38" s="20">
        <v>0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3</v>
      </c>
      <c r="AL38" s="123">
        <f>AI38-AJ38</f>
        <v>3</v>
      </c>
      <c r="AM38" s="123">
        <f>AL38-AL42</f>
        <v>6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90000009.429450348</v>
      </c>
      <c r="AQ38" s="126">
        <f>VLOOKUP(AE38,db_fifarank,2,FALSE)</f>
        <v>1757.87</v>
      </c>
      <c r="AR38" s="125">
        <f>AP38/AP42</f>
        <v>0.99999998888889019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6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6 - 3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4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1</v>
      </c>
      <c r="AH39" s="123">
        <f>COUNTIF($S$7:$T$78,"=" &amp; AE39 &amp; "_lose")</f>
        <v>2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7</v>
      </c>
      <c r="AL39" s="123">
        <f>AI39-AJ39</f>
        <v>-3</v>
      </c>
      <c r="AM39" s="123">
        <f>AL39-AL42</f>
        <v>0</v>
      </c>
      <c r="AN39" s="123">
        <f>AF39*3+AG39</f>
        <v>1</v>
      </c>
      <c r="AO39" s="123">
        <f>AN39/AN42*10+BA39</f>
        <v>1</v>
      </c>
      <c r="AP39" s="123">
        <f>AO39*10000000+BI39*100+AM39/AM42*10+AI39/AI42*1++IF(AQ39=0,ROW(),AQ39)/2000000</f>
        <v>10000000.572258785</v>
      </c>
      <c r="AQ39" s="126">
        <f>VLOOKUP(AE39,db_fifarank,2,FALSE)</f>
        <v>1660.43</v>
      </c>
      <c r="AR39" s="125">
        <f>AP39/AP42</f>
        <v>0.11111110459367819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South Africa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0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1</v>
      </c>
      <c r="M40" s="23">
        <f>VLOOKUP(2,AD38:AN41,4,FALSE)</f>
        <v>1</v>
      </c>
      <c r="N40" s="23">
        <f>VLOOKUP(2,AD38:AN41,5,FALSE)</f>
        <v>1</v>
      </c>
      <c r="O40" s="23" t="str">
        <f>VLOOKUP(2,AD38:AN41,6,FALSE) &amp; " - " &amp; VLOOKUP(2,AD38:AN41,7,FALSE)</f>
        <v>5 - 4</v>
      </c>
      <c r="P40" s="34">
        <f>L40*3+M40</f>
        <v>4</v>
      </c>
      <c r="R40" s="123">
        <f>DATE(2026,6,20)+TIME(13,0,0)+gmt_delta</f>
        <v>46194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1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4</v>
      </c>
      <c r="AJ40" s="123">
        <f>SUMIF($E$7:$E$78,$AE40,$G$7:$G$78) + SUMIF($H$7:$H$78,$AE40,$F$7:$F$78)</f>
        <v>5</v>
      </c>
      <c r="AL40" s="123">
        <f>AI40-AJ40</f>
        <v>-1</v>
      </c>
      <c r="AM40" s="123">
        <f>AL40-AL42</f>
        <v>2</v>
      </c>
      <c r="AN40" s="123">
        <f>AF40*3+AG40</f>
        <v>2</v>
      </c>
      <c r="AO40" s="123">
        <f>AN40/AN42*10+BA40</f>
        <v>2</v>
      </c>
      <c r="AP40" s="123">
        <f>AO40*10000000+BI40*100+AM40/AM42*10+AI40/AI42*1++IF(AQ40=0,ROW(),AQ40)/2000000</f>
        <v>20000003.429328814</v>
      </c>
      <c r="AQ40" s="126">
        <f>VLOOKUP(AE40,db_fifarank,2,FALSE)</f>
        <v>1514.77</v>
      </c>
      <c r="AR40" s="125">
        <f>AP40/AP42</f>
        <v>0.22222223457414503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1</v>
      </c>
      <c r="AH41" s="123">
        <f>COUNTIF($S$7:$T$78,"=" &amp; AE41 &amp; "_lose")</f>
        <v>1</v>
      </c>
      <c r="AI41" s="123">
        <f>SUMIF($E$7:$E$78,$AE41,$F$7:$F$78) + SUMIF($H$7:$H$78,$AE41,$G$7:$G$78)</f>
        <v>5</v>
      </c>
      <c r="AJ41" s="123">
        <f>SUMIF($E$7:$E$78,$AE41,$G$7:$G$78) + SUMIF($H$7:$H$78,$AE41,$F$7:$F$78)</f>
        <v>4</v>
      </c>
      <c r="AL41" s="123">
        <f>AI41-AJ41</f>
        <v>1</v>
      </c>
      <c r="AM41" s="123">
        <f>AL41-AL42</f>
        <v>4</v>
      </c>
      <c r="AN41" s="123">
        <f>AF41*3+AG41</f>
        <v>4</v>
      </c>
      <c r="AO41" s="123">
        <f>AN41/AN42*10+BA41</f>
        <v>4</v>
      </c>
      <c r="AP41" s="123">
        <f>AO41*10000000+BI41*100+AM41/AM42*10+AI41/AI42*1++IF(AQ41=0,ROW(),AQ41)/2000000</f>
        <v>40000006.429312959</v>
      </c>
      <c r="AQ41" s="126">
        <f>VLOOKUP(AE41,db_fifarank,2,FALSE)</f>
        <v>1483.05</v>
      </c>
      <c r="AR41" s="125">
        <f>AP41/AP42</f>
        <v>0.44444446437779428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3</v>
      </c>
      <c r="G42" s="20">
        <v>1</v>
      </c>
      <c r="H42" s="80" t="str">
        <f>AE39</f>
        <v>Japan</v>
      </c>
      <c r="J42" s="35" t="str">
        <f>VLOOKUP(4,AD38:AN41,2,FALSE)</f>
        <v>Japan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4 - 7</v>
      </c>
      <c r="P42" s="37">
        <f>L42*3+M42</f>
        <v>1</v>
      </c>
      <c r="R42" s="123">
        <f>DATE(2026,6,20)+TIME(17,0,0)+gmt_delta</f>
        <v>46194.166666666672</v>
      </c>
      <c r="S42" s="127" t="str">
        <f t="shared" si="1"/>
        <v>Tunisia_win</v>
      </c>
      <c r="T42" s="127" t="str">
        <f t="shared" si="2"/>
        <v>Japan_lose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1</v>
      </c>
      <c r="AF42" s="123">
        <f t="shared" ref="AF42:AH42" si="18">MAX(AF38:AF41)-MIN(AF38:AF41)+1</f>
        <v>4</v>
      </c>
      <c r="AG42" s="123">
        <f t="shared" si="18"/>
        <v>3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7</v>
      </c>
      <c r="AN42" s="123">
        <f>MAX(AN38:AN41)+1</f>
        <v>10</v>
      </c>
      <c r="AO42" s="123">
        <f>MAX(AO38:AO41)+1</f>
        <v>10</v>
      </c>
      <c r="AP42" s="123">
        <f>MAX(AP38:AP41)+1</f>
        <v>90000010.429450348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Brazil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4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Tunisia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5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7</v>
      </c>
      <c r="AJ44" s="123">
        <f>SUMIF($E$7:$E$78,$AE44,$G$7:$G$78) + SUMIF($H$7:$H$78,$AE44,$F$7:$F$78)</f>
        <v>3</v>
      </c>
      <c r="AL44" s="123">
        <f>AI44-AJ44</f>
        <v>4</v>
      </c>
      <c r="AM44" s="123">
        <f>AL44-AL48</f>
        <v>9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90000009.875867352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3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7 - 3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0</v>
      </c>
      <c r="AH45" s="123">
        <f>COUNTIF($S$7:$T$78,"=" &amp; AE45 &amp; "_lose")</f>
        <v>2</v>
      </c>
      <c r="AI45" s="123">
        <f>SUMIF($E$7:$E$78,$AE45,$F$7:$F$78) + SUMIF($H$7:$H$78,$AE45,$G$7:$G$78)</f>
        <v>2</v>
      </c>
      <c r="AJ45" s="123">
        <f>SUMIF($E$7:$E$78,$AE45,$G$7:$G$78) + SUMIF($H$7:$H$78,$AE45,$F$7:$F$78)</f>
        <v>4</v>
      </c>
      <c r="AL45" s="123">
        <f>AI45-AJ45</f>
        <v>-2</v>
      </c>
      <c r="AM45" s="123">
        <f>AL45-AL48</f>
        <v>3</v>
      </c>
      <c r="AN45" s="123">
        <f>AF45*3+AG45</f>
        <v>3</v>
      </c>
      <c r="AO45" s="123">
        <f>AN45/AN48*10+BA45</f>
        <v>3</v>
      </c>
      <c r="AP45" s="123">
        <f>AO45*10000000+BI45*100+AM45/AM48*10+AI45/AI48*1++IF(AQ45=0,ROW(),AQ45)/2000000</f>
        <v>30000003.250781622</v>
      </c>
      <c r="AQ45" s="126">
        <f>VLOOKUP(AE45,db_fifarank,2,FALSE)</f>
        <v>1563.24</v>
      </c>
      <c r="AR45" s="125">
        <f>AP45/AP48</f>
        <v>0.33333332917213943</v>
      </c>
      <c r="AS45" s="125" t="str">
        <f>IF(SUM(AF44:AH47)=12,J46,"2G")</f>
        <v>New Zealand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2</v>
      </c>
      <c r="G46" s="20">
        <v>0</v>
      </c>
      <c r="H46" s="80" t="str">
        <f>AE45</f>
        <v>Egypt</v>
      </c>
      <c r="J46" s="33" t="str">
        <f>VLOOKUP(2,AD44:AN47,2,FALSE)</f>
        <v>New Zealand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6 - 3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Zealand_win</v>
      </c>
      <c r="T46" s="127" t="str">
        <f t="shared" si="2"/>
        <v>Egypt_lose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0</v>
      </c>
      <c r="AH46" s="123">
        <f>COUNTIF($S$7:$T$78,"=" &amp; AE46 &amp; "_lose")</f>
        <v>3</v>
      </c>
      <c r="AI46" s="123">
        <f>SUMIF($E$7:$E$78,$AE46,$F$7:$F$78) + SUMIF($H$7:$H$78,$AE46,$G$7:$G$78)</f>
        <v>2</v>
      </c>
      <c r="AJ46" s="123">
        <f>SUMIF($E$7:$E$78,$AE46,$G$7:$G$78) + SUMIF($H$7:$H$78,$AE46,$F$7:$F$78)</f>
        <v>7</v>
      </c>
      <c r="AL46" s="123">
        <f>AI46-AJ46</f>
        <v>-5</v>
      </c>
      <c r="AM46" s="123">
        <f>AL46-AL48</f>
        <v>0</v>
      </c>
      <c r="AN46" s="123">
        <f>AF46*3+AG46</f>
        <v>0</v>
      </c>
      <c r="AO46" s="123">
        <f>AN46/AN48*10+BA46</f>
        <v>0</v>
      </c>
      <c r="AP46" s="123">
        <f>AO46*10000000+BI46*100+AM46/AM48*10+AI46/AI48*1++IF(AQ46=0,ROW(),AQ46)/2000000</f>
        <v>0.25080764999999999</v>
      </c>
      <c r="AQ46" s="126">
        <f>VLOOKUP(AE46,db_fifarank,2,FALSE)</f>
        <v>1615.3</v>
      </c>
      <c r="AR46" s="125">
        <f>AP46/AP48</f>
        <v>2.7867513299073575E-9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Ivory Coast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0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2</v>
      </c>
      <c r="AE47" s="124" t="str">
        <f>VLOOKUP("New Zealand",T,lang,FALSE)</f>
        <v>New Zealand</v>
      </c>
      <c r="AF47" s="123">
        <f>COUNTIF($S$7:$T$78,"=" &amp; AE47 &amp; "_win")</f>
        <v>2</v>
      </c>
      <c r="AG47" s="123">
        <f>COUNTIF($S$7:$T$78,"=" &amp; AE47 &amp; "_draw")</f>
        <v>0</v>
      </c>
      <c r="AH47" s="123">
        <f>COUNTIF($S$7:$T$78,"=" &amp; AE47 &amp; "_lose")</f>
        <v>1</v>
      </c>
      <c r="AI47" s="123">
        <f>SUMIF($E$7:$E$78,$AE47,$F$7:$F$78) + SUMIF($H$7:$H$78,$AE47,$G$7:$G$78)</f>
        <v>6</v>
      </c>
      <c r="AJ47" s="123">
        <f>SUMIF($E$7:$E$78,$AE47,$G$7:$G$78) + SUMIF($H$7:$H$78,$AE47,$F$7:$F$78)</f>
        <v>3</v>
      </c>
      <c r="AL47" s="123">
        <f>AI47-AJ47</f>
        <v>3</v>
      </c>
      <c r="AM47" s="123">
        <f>AL47-AL48</f>
        <v>8</v>
      </c>
      <c r="AN47" s="123">
        <f>AF47*3+AG47</f>
        <v>6</v>
      </c>
      <c r="AO47" s="123">
        <f>AN47/AN48*10+BA47</f>
        <v>6</v>
      </c>
      <c r="AP47" s="123">
        <f>AO47*10000000+BI47*100+AM47/AM48*10+AI47/AI48*1++IF(AQ47=0,ROW(),AQ47)/2000000</f>
        <v>60000008.750640787</v>
      </c>
      <c r="AQ47" s="126">
        <f>VLOOKUP(AE47,db_fifarank,2,FALSE)</f>
        <v>1281.57</v>
      </c>
      <c r="AR47" s="125">
        <f>AP47/AP48</f>
        <v>0.66666668333402634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5</v>
      </c>
      <c r="G48" s="20">
        <v>1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2 - 7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1</v>
      </c>
      <c r="AH48" s="123">
        <f t="shared" si="24"/>
        <v>4</v>
      </c>
      <c r="AI48" s="123">
        <f>MAX(AI44:AI47)+1</f>
        <v>8</v>
      </c>
      <c r="AL48" s="123">
        <f>MIN(AL44:AL47)</f>
        <v>-5</v>
      </c>
      <c r="AM48" s="123">
        <f>MAX(AM44:AM47)+1</f>
        <v>10</v>
      </c>
      <c r="AN48" s="123">
        <f>MAX(AN44:AN47)+1</f>
        <v>10</v>
      </c>
      <c r="AO48" s="123">
        <f>MAX(AO44:AO47)+1</f>
        <v>10</v>
      </c>
      <c r="AP48" s="123">
        <f>MAX(AP44:AP47)+1</f>
        <v>90000010.875867352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Germany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2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Jordan_draw</v>
      </c>
      <c r="T50" s="127" t="str">
        <f t="shared" si="20"/>
        <v>Algeria_draw</v>
      </c>
      <c r="U50" s="123">
        <f t="shared" si="8"/>
        <v>1</v>
      </c>
      <c r="V50" s="123">
        <f t="shared" si="21"/>
        <v>1</v>
      </c>
      <c r="W50" s="123">
        <f t="shared" si="22"/>
        <v>1</v>
      </c>
      <c r="X50" s="123">
        <f t="shared" si="9"/>
        <v>1</v>
      </c>
      <c r="Y50" s="123">
        <f t="shared" si="10"/>
        <v>1</v>
      </c>
      <c r="Z50" s="123">
        <f t="shared" si="11"/>
        <v>1</v>
      </c>
      <c r="AA50" s="123">
        <f t="shared" si="17"/>
        <v>1</v>
      </c>
      <c r="AB50" s="123">
        <f t="shared" si="23"/>
        <v>0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13</v>
      </c>
      <c r="AJ50" s="123">
        <f>SUMIF($E$7:$E$78,$AE50,$G$7:$G$78) + SUMIF($H$7:$H$78,$AE50,$F$7:$F$78)</f>
        <v>2</v>
      </c>
      <c r="AL50" s="123">
        <f>AI50-AJ50</f>
        <v>11</v>
      </c>
      <c r="AM50" s="123">
        <f>AL50-AL54</f>
        <v>22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90000010.49472703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13 - 2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11</v>
      </c>
      <c r="AL51" s="123">
        <f>AI51-AJ51</f>
        <v>-11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6.8306500000000006E-4</v>
      </c>
      <c r="AQ51" s="126">
        <f>VLOOKUP(AE51,db_fifarank,2,FALSE)</f>
        <v>1366.13</v>
      </c>
      <c r="AR51" s="125">
        <f>AP51/AP54</f>
        <v>7.5896101417722583E-12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Saudi Arabia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9 - 3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0</v>
      </c>
      <c r="AH52" s="123">
        <f>COUNTIF($S$7:$T$78,"=" &amp; AE52 &amp; "_lose")</f>
        <v>2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8</v>
      </c>
      <c r="AL52" s="123">
        <f>AI52-AJ52</f>
        <v>-6</v>
      </c>
      <c r="AM52" s="123">
        <f>AL52-AL54</f>
        <v>5</v>
      </c>
      <c r="AN52" s="123">
        <f>AF52*3+AG52</f>
        <v>3</v>
      </c>
      <c r="AO52" s="123">
        <f>AN52/AN54*10+BA52</f>
        <v>3</v>
      </c>
      <c r="AP52" s="123">
        <f>AO52*10000000+BI52*100+AM52/AM54*10+AI52/AI54*1++IF(AQ52=0,ROW(),AQ52)/2000000</f>
        <v>30000002.317480899</v>
      </c>
      <c r="AQ52" s="126">
        <f>VLOOKUP(AE52,db_fifarank,2,FALSE)</f>
        <v>1421.43</v>
      </c>
      <c r="AR52" s="125">
        <f>AP52/AP54</f>
        <v>0.33333331651006015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2000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2 - 8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9</v>
      </c>
      <c r="AJ53" s="123">
        <f>SUMIF($E$7:$E$78,$AE53,$G$7:$G$78) + SUMIF($H$7:$H$78,$AE53,$F$7:$F$78)</f>
        <v>3</v>
      </c>
      <c r="AL53" s="123">
        <f>AI53-AJ53</f>
        <v>6</v>
      </c>
      <c r="AM53" s="123">
        <f>AL53-AL54</f>
        <v>17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60000008.034998029</v>
      </c>
      <c r="AQ53" s="126">
        <f>VLOOKUP(AE53,db_fifarank,2,FALSE)</f>
        <v>1673.07</v>
      </c>
      <c r="AR53" s="125">
        <f>AP53/AP54</f>
        <v>0.66666667079829589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3</v>
      </c>
      <c r="BU53" s="64"/>
      <c r="BV53" s="27"/>
      <c r="BW53" s="112">
        <f>IF(BW52="","",BT53*1000+BU53*10+BV53)</f>
        <v>3000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0 - 11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14</v>
      </c>
      <c r="AL54" s="123">
        <f>MIN(AL50:AL53)</f>
        <v>-11</v>
      </c>
      <c r="AM54" s="123">
        <f>MAX(AM50:AM53)+1</f>
        <v>23</v>
      </c>
      <c r="AN54" s="123">
        <f>MAX(AN50:AN53)+1</f>
        <v>10</v>
      </c>
      <c r="AO54" s="123">
        <f>MAX(AO50:AO53)+1</f>
        <v>10</v>
      </c>
      <c r="AP54" s="123">
        <f>MAX(AP50:AP53)+1</f>
        <v>90000011.49472703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2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Scotland_draw</v>
      </c>
      <c r="T55" s="127" t="str">
        <f t="shared" si="20"/>
        <v>Brazil_draw</v>
      </c>
      <c r="U55" s="123">
        <f t="shared" si="8"/>
        <v>1</v>
      </c>
      <c r="V55" s="123">
        <f t="shared" si="21"/>
        <v>2</v>
      </c>
      <c r="W55" s="123">
        <f t="shared" si="22"/>
        <v>2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0</v>
      </c>
      <c r="BK55" s="142"/>
      <c r="BL55" s="26" t="str">
        <f>IF(group_round_completed,VLOOKUP('3rd places'!K3,AK80:AS91,9,FALSE),"3rd Group E/H/I/J/K")</f>
        <v>Uzbekistan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5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10</v>
      </c>
      <c r="AJ56" s="123">
        <f>SUMIF($E$7:$E$78,$AE56,$G$7:$G$78) + SUMIF($H$7:$H$78,$AE56,$F$7:$F$78)</f>
        <v>4</v>
      </c>
      <c r="AL56" s="123">
        <f>AI56-AJ56</f>
        <v>6</v>
      </c>
      <c r="AM56" s="123">
        <f>AL56-AL60</f>
        <v>15</v>
      </c>
      <c r="AN56" s="123">
        <f>AF56*3+AG56</f>
        <v>7</v>
      </c>
      <c r="AO56" s="123">
        <f>AN56/AN60*10+BA56</f>
        <v>9.7305825242718456</v>
      </c>
      <c r="AP56" s="123">
        <f>AO56*10000000+BI56*100+AM56/AM60*10+AI56/AI60*1++IF(AQ56=0,ROW(),AQ56)/2000000</f>
        <v>97305933.586000443</v>
      </c>
      <c r="AQ56" s="126">
        <f>VLOOKUP(AE56,db_fifarank,2,FALSE)</f>
        <v>1877.32</v>
      </c>
      <c r="AR56" s="125">
        <f>AP56/AP60</f>
        <v>0.99999998972313453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1</v>
      </c>
      <c r="AW56" s="126" cm="1">
        <f t="array" ref="AW56">SUMPRODUCT(($E$7:$E$78=AE56)*($U$7:$U$78)*($G$7:$G$78))+SUMPRODUCT(($H$7:$H$78=AE56)*($U$7:$U$78)*($F$7:$F$78))</f>
        <v>1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50.5</v>
      </c>
      <c r="BA56" s="126">
        <f>AZ56/AZ60</f>
        <v>0.98058252427184467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1</v>
      </c>
      <c r="BE56" s="126" cm="1">
        <f t="array" ref="BE56">SUMPRODUCT(($E$7:$E$78=AE56)*($X$7:$X$78)*($G$7:$G$78))+SUMPRODUCT(($H$7:$H$78=AE56)*($X$7:$X$78)*($F$7:$F$78))</f>
        <v>1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50.5</v>
      </c>
      <c r="BI56" s="126">
        <f>BH56/BH60</f>
        <v>0.98058252427184467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3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10 - 4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5</v>
      </c>
      <c r="AL57" s="123">
        <f>AI57-AJ57</f>
        <v>0</v>
      </c>
      <c r="AM57" s="123">
        <f>AL57-AL60</f>
        <v>9</v>
      </c>
      <c r="AN57" s="123">
        <f>AF57*3+AG57</f>
        <v>3</v>
      </c>
      <c r="AO57" s="123">
        <f>AN57/AN60*10+BA57</f>
        <v>3.75</v>
      </c>
      <c r="AP57" s="123">
        <f>AO57*10000000+BI57*100+AM57/AM60*10+AI57/AI60*1++IF(AQ57=0,ROW(),AQ57)/2000000</f>
        <v>37500006.080389947</v>
      </c>
      <c r="AQ57" s="126">
        <f>VLOOKUP(AE57,db_fifarank,2,FALSE)</f>
        <v>1688.99</v>
      </c>
      <c r="AR57" s="125">
        <f>AP57/AP60</f>
        <v>0.38538251793108136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5 - 2</v>
      </c>
      <c r="P58" s="34">
        <f>L58*3+M58</f>
        <v>7</v>
      </c>
      <c r="R58" s="123">
        <f>DATE(2026,6,24)+TIME(8,0,0)+gmt_delta</f>
        <v>46197.791666666672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1</v>
      </c>
      <c r="V58" s="123">
        <f t="shared" si="21"/>
        <v>0</v>
      </c>
      <c r="W58" s="123">
        <f t="shared" si="22"/>
        <v>0</v>
      </c>
      <c r="X58" s="123">
        <f t="shared" si="9"/>
        <v>1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2</v>
      </c>
      <c r="AJ58" s="123">
        <f>SUMIF($E$7:$E$78,$AE58,$G$7:$G$78) + SUMIF($H$7:$H$78,$AE58,$F$7:$F$78)</f>
        <v>11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0.18254175181818183</v>
      </c>
      <c r="AQ58" s="126">
        <f>VLOOKUP(AE58,db_fifarank,2,FALSE)</f>
        <v>1447.14</v>
      </c>
      <c r="AR58" s="125">
        <f>AP58/AP60</f>
        <v>1.8759570276450991E-9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4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4000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0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5 - 5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1</v>
      </c>
      <c r="AH59" s="123">
        <f>COUNTIF($S$7:$T$78,"=" &amp; AE59 &amp; "_lose")</f>
        <v>0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2</v>
      </c>
      <c r="AL59" s="123">
        <f>AI59-AJ59</f>
        <v>3</v>
      </c>
      <c r="AM59" s="123">
        <f>AL59-AL60</f>
        <v>12</v>
      </c>
      <c r="AN59" s="123">
        <f>AF59*3+AG59</f>
        <v>7</v>
      </c>
      <c r="AO59" s="123">
        <f>AN59/AN60*10+BA59</f>
        <v>9.7305825242718456</v>
      </c>
      <c r="AP59" s="123">
        <f>AO59*10000000+BI59*100+AM59/AM60*10+AI59/AI60*1++IF(AQ59=0,ROW(),AQ59)/2000000</f>
        <v>97305931.256291807</v>
      </c>
      <c r="AQ59" s="126">
        <f>VLOOKUP(AE59,db_fifarank,2,FALSE)</f>
        <v>1550.94</v>
      </c>
      <c r="AR59" s="125">
        <f>AP59/AP60</f>
        <v>0.99999996578103223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1</v>
      </c>
      <c r="AV59" s="126" cm="1">
        <f t="array" ref="AV59">SUMPRODUCT(($E$7:$E$78=AE59)*($U$7:$U$78)*($F$7:$F$78))+SUMPRODUCT(($H$7:$H$78=AE59)*($U$7:$U$78)*($G$7:$G$78))</f>
        <v>1</v>
      </c>
      <c r="AW59" s="126" cm="1">
        <f t="array" ref="AW59">SUMPRODUCT(($E$7:$E$78=AE59)*($U$7:$U$78)*($G$7:$G$78))+SUMPRODUCT(($H$7:$H$78=AE59)*($U$7:$U$78)*($F$7:$F$78))</f>
        <v>1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50.5</v>
      </c>
      <c r="BA59" s="126">
        <f>AZ59/AZ60</f>
        <v>0.98058252427184467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1</v>
      </c>
      <c r="BD59" s="126" cm="1">
        <f t="array" ref="BD59">SUMPRODUCT(($E$7:$E$78=AE59)*($X$7:$X$78)*($F$7:$F$78))+SUMPRODUCT(($H$7:$H$78=AE59)*($X$7:$X$78)*($G$7:$G$78))</f>
        <v>1</v>
      </c>
      <c r="BE59" s="126" cm="1">
        <f t="array" ref="BE59">SUMPRODUCT(($E$7:$E$78=AE59)*($X$7:$X$78)*($G$7:$G$78))+SUMPRODUCT(($H$7:$H$78=AE59)*($X$7:$X$78)*($F$7:$F$78))</f>
        <v>1</v>
      </c>
      <c r="BF59" s="126">
        <f>BD59-BE59</f>
        <v>0</v>
      </c>
      <c r="BG59" s="126">
        <f>BF59-MIN(BF56:BF59)</f>
        <v>0</v>
      </c>
      <c r="BH59" s="126">
        <f t="shared" si="26"/>
        <v>50.5</v>
      </c>
      <c r="BI59" s="126">
        <f>BH59/BH60</f>
        <v>0.98058252427184467</v>
      </c>
      <c r="BK59" s="142"/>
      <c r="BL59" s="26" t="str">
        <f>AS51</f>
        <v>Uruguay</v>
      </c>
      <c r="BM59" s="62">
        <v>3</v>
      </c>
      <c r="BN59" s="64"/>
      <c r="BO59" s="27"/>
      <c r="BP59" s="113">
        <f>IF(BP58="","",BM59*1000+BN59*10+BO59)</f>
        <v>3000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3</v>
      </c>
      <c r="G60" s="20">
        <v>0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2 - 11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Africa_win</v>
      </c>
      <c r="T60" s="127" t="str">
        <f t="shared" si="20"/>
        <v>Korea Republic_lose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11</v>
      </c>
      <c r="AL60" s="123">
        <f>MIN(AL56:AL59)</f>
        <v>-9</v>
      </c>
      <c r="AM60" s="123">
        <f>MAX(AM56:AM59)+1</f>
        <v>16</v>
      </c>
      <c r="AN60" s="123">
        <f>MAX(AN56:AN59)+1</f>
        <v>8</v>
      </c>
      <c r="AO60" s="123">
        <f>MAX(AO56:AO59)+1</f>
        <v>10.730582524271846</v>
      </c>
      <c r="AP60" s="123">
        <f>MAX(AP56:AP59)+1</f>
        <v>97305934.586000443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2</v>
      </c>
      <c r="AW60" s="126">
        <f>MAX(AW56:AW59)-MIN(AW56:AW59)+1</f>
        <v>2</v>
      </c>
      <c r="AY60" s="126">
        <f>MAX(AY56:AY59)-MIN(AY56:AY59)+1</f>
        <v>1</v>
      </c>
      <c r="AZ60" s="126">
        <f>MAX(AZ56:AZ59)+1</f>
        <v>51.5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2</v>
      </c>
      <c r="BE60" s="126">
        <f>MAX(BE56:BE59)-MIN(BE56:BE59)+1</f>
        <v>2</v>
      </c>
      <c r="BG60" s="126">
        <f>MAX(BG56:BG59)-MIN(BG56:BG59)+1</f>
        <v>1</v>
      </c>
      <c r="BH60" s="126">
        <f>MAX(BH56:BH59)+1</f>
        <v>51.5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4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4000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New Zealand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0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11</v>
      </c>
      <c r="AJ62" s="123">
        <f>SUMIF($E$7:$E$78,$AE62,$G$7:$G$78) + SUMIF($H$7:$H$78,$AE62,$F$7:$F$78)</f>
        <v>5</v>
      </c>
      <c r="AL62" s="123">
        <f>AI62-AJ62</f>
        <v>6</v>
      </c>
      <c r="AM62" s="123">
        <f>AL62-AL66</f>
        <v>11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90000010.08427076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11 - 5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0</v>
      </c>
      <c r="AG63" s="123">
        <f>COUNTIF($S$7:$T$78,"=" &amp; AE63 &amp; "_draw")</f>
        <v>1</v>
      </c>
      <c r="AH63" s="123">
        <f>COUNTIF($S$7:$T$78,"=" &amp; AE63 &amp; "_lose")</f>
        <v>2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6</v>
      </c>
      <c r="AL63" s="123">
        <f>AI63-AJ63</f>
        <v>-3</v>
      </c>
      <c r="AM63" s="123">
        <f>AL63-AL66</f>
        <v>2</v>
      </c>
      <c r="AN63" s="123">
        <f>AF63*3+AG63</f>
        <v>1</v>
      </c>
      <c r="AO63" s="123">
        <f>AN63/AN66*10+BA63</f>
        <v>1.9805825242718447</v>
      </c>
      <c r="AP63" s="123">
        <f>AO63*10000000+BI63*100+AM63/AM66*10+AI63/AI66*1++IF(AQ63=0,ROW(),AQ63)/2000000</f>
        <v>19805925.218419671</v>
      </c>
      <c r="AQ63" s="126">
        <f>VLOOKUP(AE63,db_fifarank,2,FALSE)</f>
        <v>1564.26</v>
      </c>
      <c r="AR63" s="125">
        <f>AP63/AP66</f>
        <v>0.22006580865722958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New Zealand</v>
      </c>
      <c r="BM63" s="62">
        <v>2</v>
      </c>
      <c r="BN63" s="64"/>
      <c r="BO63" s="27"/>
      <c r="BP63" s="112">
        <f>IF(BP62="","",BM63*1000+BN63*10+BO63)</f>
        <v>2000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1</v>
      </c>
      <c r="G64" s="20">
        <v>2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6 - 4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0</v>
      </c>
      <c r="AH64" s="123">
        <f>COUNTIF($S$7:$T$78,"=" &amp; AE64 &amp; "_lose")</f>
        <v>1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4</v>
      </c>
      <c r="AL64" s="123">
        <f>AI64-AJ64</f>
        <v>2</v>
      </c>
      <c r="AM64" s="123">
        <f>AL64-AL66</f>
        <v>7</v>
      </c>
      <c r="AN64" s="123">
        <f>AF64*3+AG64</f>
        <v>6</v>
      </c>
      <c r="AO64" s="123">
        <f>AN64/AN66*10+BA64</f>
        <v>6</v>
      </c>
      <c r="AP64" s="123">
        <f>AO64*10000000+BI64*100+AM64/AM66*10+AI64/AI66*1++IF(AQ64=0,ROW(),AQ64)/2000000</f>
        <v>60000006.334130064</v>
      </c>
      <c r="AQ64" s="126">
        <f>VLOOKUP(AE64,db_fifarank,2,FALSE)</f>
        <v>1593.45</v>
      </c>
      <c r="AR64" s="125">
        <f>AP64/AP66</f>
        <v>0.66666665494018174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0</v>
      </c>
      <c r="M65" s="23">
        <f>VLOOKUP(3,AD62:AN65,4,FALSE)</f>
        <v>1</v>
      </c>
      <c r="N65" s="23">
        <f>VLOOKUP(3,AD62:AN65,5,FALSE)</f>
        <v>2</v>
      </c>
      <c r="O65" s="23" t="str">
        <f>VLOOKUP(3,AD62:AN65,6,FALSE) &amp; " - " &amp; VLOOKUP(3,AD62:AN65,7,FALSE)</f>
        <v>3 - 6</v>
      </c>
      <c r="P65" s="34">
        <f>L65*3+M65</f>
        <v>1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1</v>
      </c>
      <c r="AH65" s="123">
        <f>COUNTIF($S$7:$T$78,"=" &amp; AE65 &amp; "_lose")</f>
        <v>2</v>
      </c>
      <c r="AI65" s="123">
        <f>SUMIF($E$7:$E$78,$AE65,$F$7:$F$78) + SUMIF($H$7:$H$78,$AE65,$G$7:$G$78)</f>
        <v>3</v>
      </c>
      <c r="AJ65" s="123">
        <f>SUMIF($E$7:$E$78,$AE65,$G$7:$G$78) + SUMIF($H$7:$H$78,$AE65,$F$7:$F$78)</f>
        <v>8</v>
      </c>
      <c r="AL65" s="123">
        <f>AI65-AJ65</f>
        <v>-5</v>
      </c>
      <c r="AM65" s="123">
        <f>AL65-AL66</f>
        <v>0</v>
      </c>
      <c r="AN65" s="123">
        <f>AF65*3+AG65</f>
        <v>1</v>
      </c>
      <c r="AO65" s="123">
        <f>AN65/AN66*10+BA65</f>
        <v>1.9805825242718447</v>
      </c>
      <c r="AP65" s="123">
        <f>AO65*10000000+BI65*100+AM65/AM66*10+AI65/AI66*1++IF(AQ65=0,ROW(),AQ65)/2000000</f>
        <v>19805923.551666599</v>
      </c>
      <c r="AQ65" s="126">
        <f>VLOOKUP(AE65,db_fifarank,2,FALSE)</f>
        <v>1391.45</v>
      </c>
      <c r="AR65" s="125">
        <f>AP65/AP66</f>
        <v>0.22006579013775329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1</v>
      </c>
      <c r="AV65" s="126" cm="1">
        <f t="array" ref="AV65">SUMPRODUCT(($E$7:$E$78=AE65)*($U$7:$U$78)*($F$7:$F$78))+SUMPRODUCT(($H$7:$H$78=AE65)*($U$7:$U$78)*($G$7:$G$78))</f>
        <v>1</v>
      </c>
      <c r="AW65" s="126" cm="1">
        <f t="array" ref="AW65">SUMPRODUCT(($E$7:$E$78=AE65)*($U$7:$U$78)*($G$7:$G$78))+SUMPRODUCT(($H$7:$H$78=AE65)*($U$7:$U$78)*($F$7:$F$78))</f>
        <v>1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50.5</v>
      </c>
      <c r="BA65" s="126">
        <f>AZ65/AZ66</f>
        <v>0.98058252427184467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1</v>
      </c>
      <c r="BD65" s="126" cm="1">
        <f t="array" ref="BD65">SUMPRODUCT(($E$7:$E$78=AE65)*($X$7:$X$78)*($F$7:$F$78))+SUMPRODUCT(($H$7:$H$78=AE65)*($X$7:$X$78)*($G$7:$G$78))</f>
        <v>1</v>
      </c>
      <c r="BE65" s="126" cm="1">
        <f t="array" ref="BE65">SUMPRODUCT(($E$7:$E$78=AE65)*($X$7:$X$78)*($G$7:$G$78))+SUMPRODUCT(($H$7:$H$78=AE65)*($X$7:$X$78)*($F$7:$F$78))</f>
        <v>1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50.5</v>
      </c>
      <c r="BI65" s="126">
        <f>BH65/BH66</f>
        <v>0.98058252427184467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Senegal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2</v>
      </c>
      <c r="G66" s="20">
        <v>2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1</v>
      </c>
      <c r="N66" s="36">
        <f>VLOOKUP(4,AD62:AN65,5,FALSE)</f>
        <v>2</v>
      </c>
      <c r="O66" s="36" t="str">
        <f>VLOOKUP(4,AD62:AN65,6,FALSE) &amp; " - " &amp; VLOOKUP(4,AD62:AN65,7,FALSE)</f>
        <v>3 - 8</v>
      </c>
      <c r="P66" s="37">
        <f>L66*3+M66</f>
        <v>1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3</v>
      </c>
      <c r="AI66" s="123">
        <f>MAX(AI62:AI65)+1</f>
        <v>12</v>
      </c>
      <c r="AL66" s="123">
        <f>MIN(AL62:AL65)</f>
        <v>-5</v>
      </c>
      <c r="AM66" s="123">
        <f>MAX(AM62:AM65)+1</f>
        <v>12</v>
      </c>
      <c r="AN66" s="123">
        <f>MAX(AN62:AN65)+1</f>
        <v>10</v>
      </c>
      <c r="AO66" s="123">
        <f>MAX(AO62:AO65)+1</f>
        <v>10</v>
      </c>
      <c r="AP66" s="123">
        <f>MAX(AP62:AP65)+1</f>
        <v>90000011.08427076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1</v>
      </c>
      <c r="V67" s="123">
        <f t="shared" si="21"/>
        <v>1</v>
      </c>
      <c r="W67" s="123">
        <f t="shared" si="22"/>
        <v>1</v>
      </c>
      <c r="X67" s="123">
        <f t="shared" si="9"/>
        <v>1</v>
      </c>
      <c r="Y67" s="123">
        <f t="shared" si="10"/>
        <v>1</v>
      </c>
      <c r="Z67" s="123">
        <f t="shared" si="11"/>
        <v>1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3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9</v>
      </c>
      <c r="AJ68" s="123">
        <f>SUMIF($E$7:$E$78,$AE68,$G$7:$G$78) + SUMIF($H$7:$H$78,$AE68,$F$7:$F$78)</f>
        <v>1</v>
      </c>
      <c r="AL68" s="123">
        <f>AI68-AJ68</f>
        <v>8</v>
      </c>
      <c r="AM68" s="123">
        <f>AL68-AL72</f>
        <v>13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90000010.1865962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>
        <v>2</v>
      </c>
      <c r="BV68" s="25"/>
      <c r="BW68" s="116">
        <f>IF(OR(BT68="",BT69="",AND(BU68="",BU69&lt;&gt;""),AND(BU69="",BU68&lt;&gt;""),AND(BV68="",BV69&lt;&gt;""),AND(BV69="",BV68&lt;&gt;"")),"",BT68*1000+BU68*10+BV68)</f>
        <v>2020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9 - 1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0</v>
      </c>
      <c r="AH69" s="123">
        <f>COUNTIF($S$7:$T$78,"=" &amp; AE69 &amp; "_lose")</f>
        <v>3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6</v>
      </c>
      <c r="AL69" s="123">
        <f>AI69-AJ69</f>
        <v>-5</v>
      </c>
      <c r="AM69" s="123">
        <f>AL69-AL72</f>
        <v>0</v>
      </c>
      <c r="AN69" s="123">
        <f>AF69*3+AG69</f>
        <v>0</v>
      </c>
      <c r="AO69" s="123">
        <f>AN69/AN72*10+BA69</f>
        <v>0</v>
      </c>
      <c r="AP69" s="123">
        <f>AO69*10000000+BI69*100+AM69/AM72*10+AI69/AI72*1++IF(AQ69=0,ROW(),AQ69)/2000000</f>
        <v>0.100739175</v>
      </c>
      <c r="AQ69" s="126">
        <f>VLOOKUP(AE69,db_fifarank,2,FALSE)</f>
        <v>1478.35</v>
      </c>
      <c r="AR69" s="125">
        <f>AP69/AP72</f>
        <v>1.1193240275397121E-9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Senegal</v>
      </c>
      <c r="BT69" s="62">
        <v>2</v>
      </c>
      <c r="BU69" s="64">
        <v>3</v>
      </c>
      <c r="BV69" s="27"/>
      <c r="BW69" s="112">
        <f>IF(BW68="","",BT69*1000+BU69*10+BV69)</f>
        <v>2030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5 - 3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1</v>
      </c>
      <c r="AG70" s="123">
        <f>COUNTIF($S$7:$T$78,"=" &amp; AE70 &amp; "_draw")</f>
        <v>0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6</v>
      </c>
      <c r="AL70" s="123">
        <f>AI70-AJ70</f>
        <v>-5</v>
      </c>
      <c r="AM70" s="123">
        <f>AL70-AL72</f>
        <v>0</v>
      </c>
      <c r="AN70" s="123">
        <f>AF70*3+AG70</f>
        <v>3</v>
      </c>
      <c r="AO70" s="123">
        <f>AN70/AN72*10+BA70</f>
        <v>3</v>
      </c>
      <c r="AP70" s="123">
        <f>AO70*10000000+BI70*100+AM70/AM72*10+AI70/AI72*1++IF(AQ70=0,ROW(),AQ70)/2000000</f>
        <v>30000000.100732673</v>
      </c>
      <c r="AQ70" s="126">
        <f>VLOOKUP(AE70,db_fifarank,2,FALSE)</f>
        <v>1465.34</v>
      </c>
      <c r="AR70" s="125">
        <f>AP70/AP72</f>
        <v>0.33333329302075249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41">
        <v>87</v>
      </c>
      <c r="BL70" s="24" t="str">
        <f>AS68</f>
        <v>Portugal</v>
      </c>
      <c r="BM70" s="61">
        <v>2</v>
      </c>
      <c r="BN70" s="63">
        <v>2</v>
      </c>
      <c r="BO70" s="25"/>
      <c r="BP70" s="116">
        <f>IF(OR(BM70="",BM71="",AND(BN70="",BN71&lt;&gt;""),AND(BN71="",BN70&lt;&gt;""),AND(BO70="",BO71&lt;&gt;""),AND(BO71="",BO70&lt;&gt;"")),"",BM70*1000+BN70*10+BO70)</f>
        <v>2020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2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1 - 6</v>
      </c>
      <c r="P71" s="34">
        <f>L71*3+M71</f>
        <v>3</v>
      </c>
      <c r="R71" s="123">
        <f>DATE(2026,6,26)+TIME(13,0,0)+gmt_delta</f>
        <v>46200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7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60000005.500846542</v>
      </c>
      <c r="AQ71" s="126">
        <f>VLOOKUP(AE71,db_fifarank,2,FALSE)</f>
        <v>1693.09</v>
      </c>
      <c r="AR71" s="125">
        <f>AP71/AP72</f>
        <v>0.66666664492351091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Senegal</v>
      </c>
      <c r="BM71" s="62">
        <v>2</v>
      </c>
      <c r="BN71" s="64">
        <v>3</v>
      </c>
      <c r="BO71" s="27"/>
      <c r="BP71" s="112">
        <f>IF(BP70="","",BM71*1000+BN71*10+BO71)</f>
        <v>2030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2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1 - 6</v>
      </c>
      <c r="P72" s="37">
        <f>L72*3+M72</f>
        <v>0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1</v>
      </c>
      <c r="AH72" s="123">
        <f t="shared" si="35"/>
        <v>4</v>
      </c>
      <c r="AI72" s="123">
        <f>MAX(AI68:AI71)+1</f>
        <v>10</v>
      </c>
      <c r="AL72" s="123">
        <f>MIN(AL68:AL71)</f>
        <v>-5</v>
      </c>
      <c r="AM72" s="123">
        <f>MAX(AM68:AM71)+1</f>
        <v>14</v>
      </c>
      <c r="AN72" s="123">
        <f>MAX(AN68:AN71)+1</f>
        <v>10</v>
      </c>
      <c r="AO72" s="123">
        <f>MAX(AO68:AO71)+1</f>
        <v>10</v>
      </c>
      <c r="AP72" s="123">
        <f>MAX(AP68:AP71)+1</f>
        <v>90000011.1865962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1</v>
      </c>
      <c r="AL74" s="123">
        <f>AI74-AJ74</f>
        <v>6</v>
      </c>
      <c r="AM74" s="123">
        <f>AL74-AL78</f>
        <v>11</v>
      </c>
      <c r="AN74" s="123">
        <f>AF74*3+AG74</f>
        <v>7</v>
      </c>
      <c r="AO74" s="123">
        <f>AN74/AN78*10+BA74</f>
        <v>9.7401477832512313</v>
      </c>
      <c r="AP74" s="123">
        <f>AO74*10000000+BI74*100+AM74/AM78*10+AI74/AI78*1++IF(AQ74=0,ROW(),AQ74)/2000000</f>
        <v>97401586.889870301</v>
      </c>
      <c r="AQ74" s="126">
        <f>VLOOKUP(AE74,db_fifarank,2,FALSE)</f>
        <v>1825.97</v>
      </c>
      <c r="AR74" s="125">
        <f>AP74/AP78</f>
        <v>0.9999999897332269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100.5</v>
      </c>
      <c r="BA74" s="126">
        <f>AZ74/AZ78</f>
        <v>0.99014778325123154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100.5</v>
      </c>
      <c r="BI74" s="126">
        <f>BH74/BH78</f>
        <v>0.99014778325123154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7 - 1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1</v>
      </c>
      <c r="AL75" s="123">
        <f>AI75-AJ75</f>
        <v>4</v>
      </c>
      <c r="AM75" s="123">
        <f>AL75-AL78</f>
        <v>9</v>
      </c>
      <c r="AN75" s="123">
        <f>AF75*3+AG75</f>
        <v>7</v>
      </c>
      <c r="AO75" s="123">
        <f>AN75/AN78*10+BA75</f>
        <v>9.7401477832512313</v>
      </c>
      <c r="AP75" s="123">
        <f>AO75*10000000+BI75*100+AM75/AM78*10+AI75/AI78*1++IF(AQ75=0,ROW(),AQ75)/2000000</f>
        <v>97401584.97314918</v>
      </c>
      <c r="AQ75" s="126">
        <f>VLOOKUP(AE75,db_fifarank,2,FALSE)</f>
        <v>1717.07</v>
      </c>
      <c r="AR75" s="125">
        <f>AP75/AP78</f>
        <v>0.9999999700546861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100.5</v>
      </c>
      <c r="BA75" s="126">
        <f>AZ75/AZ78</f>
        <v>0.99014778325123154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100.5</v>
      </c>
      <c r="BI75" s="126">
        <f>BH75/BH78</f>
        <v>0.99014778325123154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2</v>
      </c>
      <c r="G76" s="20">
        <v>5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5 - 1</v>
      </c>
      <c r="P76" s="34">
        <f>L76*3+M76</f>
        <v>7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1</v>
      </c>
      <c r="AH76" s="123">
        <f>COUNTIF($S$7:$T$78,"=" &amp; AE76 &amp; "_lose")</f>
        <v>2</v>
      </c>
      <c r="AI76" s="123">
        <f>SUMIF($E$7:$E$78,$AE76,$F$7:$F$78) + SUMIF($H$7:$H$78,$AE76,$G$7:$G$78)</f>
        <v>0</v>
      </c>
      <c r="AJ76" s="123">
        <f>SUMIF($E$7:$E$78,$AE76,$G$7:$G$78) + SUMIF($H$7:$H$78,$AE76,$F$7:$F$78)</f>
        <v>5</v>
      </c>
      <c r="AL76" s="123">
        <f>AI76-AJ76</f>
        <v>-5</v>
      </c>
      <c r="AM76" s="123">
        <f>AL76-AL78</f>
        <v>0</v>
      </c>
      <c r="AN76" s="123">
        <f>AF76*3+AG76</f>
        <v>1</v>
      </c>
      <c r="AO76" s="123">
        <f>AN76/AN78*10+BA76</f>
        <v>2.2352216748768474</v>
      </c>
      <c r="AP76" s="123">
        <f>AO76*10000000+BI76*100+AM76/AM78*10+AI76/AI78*1++IF(AQ76=0,ROW(),AQ76)/2000000</f>
        <v>22352315.27160912</v>
      </c>
      <c r="AQ76" s="126">
        <f>VLOOKUP(AE76,db_fifarank,2,FALSE)</f>
        <v>1346.31</v>
      </c>
      <c r="AR76" s="125">
        <f>AP76/AP78</f>
        <v>0.22948614859218067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100</v>
      </c>
      <c r="BA76" s="126">
        <f>AZ76/AZ78</f>
        <v>0.98522167487684731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100</v>
      </c>
      <c r="BI76" s="126">
        <f>BH76/BH78</f>
        <v>0.98522167487684731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0</v>
      </c>
      <c r="M77" s="23">
        <f>VLOOKUP(3,AD74:AN77,4,FALSE)</f>
        <v>1</v>
      </c>
      <c r="N77" s="23">
        <f>VLOOKUP(3,AD74:AN77,5,FALSE)</f>
        <v>2</v>
      </c>
      <c r="O77" s="23" t="str">
        <f>VLOOKUP(3,AD74:AN77,6,FALSE) &amp; " - " &amp; VLOOKUP(3,AD74:AN77,7,FALSE)</f>
        <v>0 - 5</v>
      </c>
      <c r="P77" s="34">
        <f>L77*3+M77</f>
        <v>1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1</v>
      </c>
      <c r="AO77" s="123">
        <f>AN77/AN78*10+BA77</f>
        <v>2.2352216748768474</v>
      </c>
      <c r="AP77" s="123">
        <f>AO77*10000000+BI77*100+AM77/AM78*10+AI77/AI78*1++IF(AQ77=0,ROW(),AQ77)/2000000</f>
        <v>22352315.271706283</v>
      </c>
      <c r="AQ77" s="126">
        <f>VLOOKUP(AE77,db_fifarank,2,FALSE)</f>
        <v>1540.64</v>
      </c>
      <c r="AR77" s="125">
        <f>AP77/AP78</f>
        <v>0.2294861485931782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1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100</v>
      </c>
      <c r="BA77" s="126">
        <f>AZ77/AZ78</f>
        <v>0.98522167487684731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1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100</v>
      </c>
      <c r="BI77" s="126">
        <f>BH77/BH78</f>
        <v>0.98522167487684731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0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0 - 5</v>
      </c>
      <c r="P78" s="37">
        <f>L78*3+M78</f>
        <v>1</v>
      </c>
      <c r="R78" s="123">
        <f>DATE(2026,6,27)+TIME(12,30,0)+gmt_delta</f>
        <v>46200.979166666672</v>
      </c>
      <c r="S78" s="127" t="str">
        <f t="shared" si="19"/>
        <v>DR Congo_lose</v>
      </c>
      <c r="T78" s="127" t="str">
        <f t="shared" si="20"/>
        <v>Uzbekistan_win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-1</v>
      </c>
      <c r="AF78" s="123">
        <f t="shared" ref="AF78:AH78" si="36">MAX(AF74:AF77)-MIN(AF74:AF77)+1</f>
        <v>3</v>
      </c>
      <c r="AG78" s="123">
        <f t="shared" si="36"/>
        <v>1</v>
      </c>
      <c r="AH78" s="123">
        <f t="shared" si="36"/>
        <v>3</v>
      </c>
      <c r="AI78" s="123">
        <f>MAX(AI74:AI77)+1</f>
        <v>8</v>
      </c>
      <c r="AL78" s="123">
        <f>MIN(AL74:AL77)</f>
        <v>-5</v>
      </c>
      <c r="AM78" s="123">
        <f>MAX(AM74:AM77)+1</f>
        <v>12</v>
      </c>
      <c r="AN78" s="123">
        <f>MAX(AN74:AN77)+1</f>
        <v>8</v>
      </c>
      <c r="AO78" s="123">
        <f>MAX(AO74:AO77)+1</f>
        <v>10.740147783251231</v>
      </c>
      <c r="AP78" s="123">
        <f>MAX(AP74:AP77)+1</f>
        <v>97401587.889870301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101.5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101.5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2</v>
      </c>
      <c r="AE80" s="124" t="str">
        <f>J11</f>
        <v>South Africa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3</v>
      </c>
      <c r="AK80" s="123" t="s">
        <v>3180</v>
      </c>
      <c r="AL80" s="123">
        <f>VLOOKUP($AE80,$AE$8:$AQ$78,8,FALSE)</f>
        <v>1</v>
      </c>
      <c r="AM80" s="123">
        <f>AL80-$AL$92</f>
        <v>7</v>
      </c>
      <c r="AN80" s="123">
        <f>VLOOKUP($AE80,$AE$8:$AQ$78,10,FALSE)</f>
        <v>3</v>
      </c>
      <c r="AP80" s="123">
        <f>AN80/AN92*10000+AM80/AM92*1000+AI80/AI92*100+IF(AQ80=0,ROW(),AQ80)/2000000</f>
        <v>5750.0007148650002</v>
      </c>
      <c r="AQ80" s="126">
        <f t="shared" ref="AQ80:AQ91" si="37">VLOOKUP($AE80,$AE$8:$AQ$78,13,FALSE)</f>
        <v>1429.73</v>
      </c>
      <c r="AR80" s="125" t="str">
        <f>IF(AD80&lt;=8,RIGHT(AK80,1),"")</f>
        <v>A</v>
      </c>
      <c r="AS80" s="129" t="str">
        <f>IF(AD80&lt;=8,AE80,"")</f>
        <v>South Africa</v>
      </c>
      <c r="AT80" s="130" t="str">
        <f>"Ⓐ "&amp;AE80</f>
        <v>Ⓐ South Africa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Ⓒ Scotland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7 - 4</v>
      </c>
      <c r="P81" s="98">
        <f>L81*3+M81</f>
        <v>5</v>
      </c>
      <c r="AD81" s="123">
        <f t="shared" ref="AD81:AD91" si="38">COUNTIF($AP$80:$AP$91,CONCATENATE("&gt;=",AP81))</f>
        <v>12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1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0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-5</v>
      </c>
      <c r="AM81" s="123">
        <f t="shared" ref="AM81:AM91" si="44">AL81-$AL$92</f>
        <v>1</v>
      </c>
      <c r="AN81" s="123">
        <f t="shared" ref="AN81:AN90" si="45">VLOOKUP($AE81,$AE$8:$AQ$78,10,FALSE)</f>
        <v>1</v>
      </c>
      <c r="AP81" s="123">
        <f>AN81/AN92*10000+AM81/AM92*1000+AI81/AI92*100+IF(AQ81=0,ROW(),AQ81)/2000000</f>
        <v>1766.6673941466665</v>
      </c>
      <c r="AQ81" s="126">
        <f t="shared" si="37"/>
        <v>1454.96</v>
      </c>
      <c r="AR81" s="125" t="str">
        <f>AR80&amp;IF(AD81&lt;=8,RIGHT(AK81,1),"")</f>
        <v>A</v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Ⓐ South Africa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0</v>
      </c>
      <c r="N82" s="100">
        <f>VLOOKUP(2,$AD$80:$AN$91,5,FALSE)</f>
        <v>2</v>
      </c>
      <c r="O82" s="100" t="str">
        <f>VLOOKUP(2,$AD$80:$AN$91,6,FALSE) &amp; " - " &amp; VLOOKUP(2,$AD$80:$AN$91,7,FALSE)</f>
        <v>4 - 3</v>
      </c>
      <c r="P82" s="101">
        <f t="shared" ref="P82:P92" si="48">L82*3+M82</f>
        <v>3</v>
      </c>
      <c r="AD82" s="123">
        <f t="shared" si="38"/>
        <v>1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2</v>
      </c>
      <c r="AH82" s="123">
        <f t="shared" si="40"/>
        <v>0</v>
      </c>
      <c r="AI82" s="123">
        <f t="shared" si="41"/>
        <v>7</v>
      </c>
      <c r="AJ82" s="123">
        <f t="shared" si="42"/>
        <v>4</v>
      </c>
      <c r="AK82" s="123" t="s">
        <v>3182</v>
      </c>
      <c r="AL82" s="123">
        <f t="shared" si="43"/>
        <v>3</v>
      </c>
      <c r="AM82" s="123">
        <f t="shared" si="44"/>
        <v>9</v>
      </c>
      <c r="AN82" s="123">
        <f t="shared" si="45"/>
        <v>5</v>
      </c>
      <c r="AP82" s="123">
        <f>AN82/AN92*10000+AM82/AM92*1000+AI82/AI92*100+IF(AQ82=0,ROW(),AQ82)/2000000</f>
        <v>9320.8340825083342</v>
      </c>
      <c r="AQ82" s="126">
        <f t="shared" si="37"/>
        <v>1498.35</v>
      </c>
      <c r="AR82" s="125" t="str">
        <f t="shared" ref="AR82:AR91" si="50">AR81&amp;IF(AD82&lt;=8,RIGHT(AK82,1),"")</f>
        <v>AC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Ⓘ Senegal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0</v>
      </c>
      <c r="N83" s="100">
        <f>VLOOKUP(3,$AD$80:$AN$91,5,FALSE)</f>
        <v>2</v>
      </c>
      <c r="O83" s="100" t="str">
        <f>VLOOKUP(3,$AD$80:$AN$91,6,FALSE) &amp; " - " &amp; VLOOKUP(3,$AD$80:$AN$91,7,FALSE)</f>
        <v>5 - 5</v>
      </c>
      <c r="P83" s="101">
        <f t="shared" si="48"/>
        <v>3</v>
      </c>
      <c r="AD83" s="123">
        <f t="shared" si="38"/>
        <v>4</v>
      </c>
      <c r="AE83" s="124" t="str">
        <f>J29</f>
        <v>Australia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5</v>
      </c>
      <c r="AJ83" s="123">
        <f t="shared" si="42"/>
        <v>5</v>
      </c>
      <c r="AK83" s="123" t="s">
        <v>3184</v>
      </c>
      <c r="AL83" s="123">
        <f t="shared" si="43"/>
        <v>0</v>
      </c>
      <c r="AM83" s="123">
        <f t="shared" si="44"/>
        <v>6</v>
      </c>
      <c r="AN83" s="123">
        <f t="shared" si="45"/>
        <v>3</v>
      </c>
      <c r="AP83" s="123">
        <f>AN83/AN92*10000+AM83/AM92*1000+AI83/AI92*100+IF(AQ83=0,ROW(),AQ83)/2000000</f>
        <v>5662.5007903349997</v>
      </c>
      <c r="AQ83" s="126">
        <f t="shared" si="37"/>
        <v>1580.67</v>
      </c>
      <c r="AR83" s="125" t="str">
        <f t="shared" si="50"/>
        <v>ACD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Ⓓ Australia</v>
      </c>
      <c r="K84" s="100">
        <f t="shared" si="47"/>
        <v>3</v>
      </c>
      <c r="L84" s="100">
        <f>VLOOKUP(4,$AD$80:$AN$91,3,FALSE)</f>
        <v>0</v>
      </c>
      <c r="M84" s="100">
        <f>VLOOKUP(4,$AD$80:$AN$91,4,FALSE)</f>
        <v>3</v>
      </c>
      <c r="N84" s="100">
        <f>VLOOKUP(4,$AD$80:$AN$91,5,FALSE)</f>
        <v>0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Ecuador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3</v>
      </c>
      <c r="AN84" s="123">
        <f t="shared" si="45"/>
        <v>2</v>
      </c>
      <c r="AP84" s="123">
        <f>AN84/AN92*10000+AM84/AM92*1000+AI84/AI92*100+IF(AQ84=0,ROW(),AQ84)/2000000</f>
        <v>3658.3341307233331</v>
      </c>
      <c r="AQ84" s="126">
        <f t="shared" si="37"/>
        <v>1594.78</v>
      </c>
      <c r="AR84" s="125" t="str">
        <f t="shared" si="50"/>
        <v>ACD</v>
      </c>
      <c r="AS84" s="129" t="str">
        <f t="shared" si="46"/>
        <v/>
      </c>
      <c r="AT84" s="130" t="str">
        <f>"Ⓔ "&amp;AE84</f>
        <v>Ⓔ Ecuador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Egypt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2 - 4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5</v>
      </c>
      <c r="AN85" s="123">
        <f t="shared" si="45"/>
        <v>2</v>
      </c>
      <c r="AP85" s="123">
        <f>AN85/AN92*10000+AM85/AM92*1000+AI85/AI92*100+IF(AQ85=0,ROW(),AQ85)/2000000</f>
        <v>3883.3340907183328</v>
      </c>
      <c r="AQ85" s="126">
        <f t="shared" si="37"/>
        <v>1514.77</v>
      </c>
      <c r="AR85" s="125" t="str">
        <f t="shared" si="50"/>
        <v>ACDF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Ⓚ Uzbekistan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1 - 6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5</v>
      </c>
      <c r="AE86" s="124" t="str">
        <f>J47</f>
        <v>Egypt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4</v>
      </c>
      <c r="AN86" s="123">
        <f t="shared" si="45"/>
        <v>3</v>
      </c>
      <c r="AP86" s="123">
        <f>AN86/AN92*10000+AM86/AM92*1000+AI86/AI92*100+IF(AQ86=0,ROW(),AQ86)/2000000</f>
        <v>5425.0007816200005</v>
      </c>
      <c r="AQ86" s="126">
        <f t="shared" si="37"/>
        <v>1563.24</v>
      </c>
      <c r="AR86" s="125" t="str">
        <f t="shared" si="50"/>
        <v>ACDFG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Ⓗ Saudi Arabia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2 - 8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7</v>
      </c>
      <c r="AE87" s="124" t="str">
        <f>J53</f>
        <v>Saudi Arabia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8</v>
      </c>
      <c r="AK87" s="123" t="s">
        <v>3188</v>
      </c>
      <c r="AL87" s="123">
        <f t="shared" si="43"/>
        <v>-6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5025.0007107150004</v>
      </c>
      <c r="AQ87" s="126">
        <f t="shared" si="37"/>
        <v>1421.43</v>
      </c>
      <c r="AR87" s="125" t="str">
        <f t="shared" si="50"/>
        <v>ACDFGH</v>
      </c>
      <c r="AS87" s="129" t="str">
        <f t="shared" si="46"/>
        <v>Saudi Arabia</v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0</v>
      </c>
      <c r="M88" s="100">
        <f>VLOOKUP(8,$AD$80:$AN$91,4,FALSE)</f>
        <v>2</v>
      </c>
      <c r="N88" s="100">
        <f>VLOOKUP(8,$AD$80:$AN$91,5,FALSE)</f>
        <v>1</v>
      </c>
      <c r="O88" s="100" t="str">
        <f>VLOOKUP(8,$AD$80:$AN$91,6,FALSE) &amp; " - " &amp; VLOOKUP(8,$AD$80:$AN$91,7,FALSE)</f>
        <v>4 - 5</v>
      </c>
      <c r="P88" s="101">
        <f t="shared" si="48"/>
        <v>2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3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5</v>
      </c>
      <c r="AK88" s="123" t="s">
        <v>3189</v>
      </c>
      <c r="AL88" s="123">
        <f t="shared" si="43"/>
        <v>0</v>
      </c>
      <c r="AM88" s="123">
        <f t="shared" si="44"/>
        <v>6</v>
      </c>
      <c r="AN88" s="123">
        <f t="shared" si="45"/>
        <v>3</v>
      </c>
      <c r="AP88" s="123">
        <f>AN88/AN92*10000+AM88/AM92*1000+AI88/AI92*100+IF(AQ88=0,ROW(),AQ88)/2000000</f>
        <v>5662.5008444949999</v>
      </c>
      <c r="AQ88" s="126">
        <f t="shared" si="37"/>
        <v>1688.99</v>
      </c>
      <c r="AR88" s="125" t="str">
        <f t="shared" si="50"/>
        <v>ACDFGHI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Ecuador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10</v>
      </c>
      <c r="AE89" s="124" t="str">
        <f>J65</f>
        <v>Algeria</v>
      </c>
      <c r="AF89" s="123">
        <f t="shared" si="39"/>
        <v>0</v>
      </c>
      <c r="AG89" s="123">
        <f t="shared" si="49"/>
        <v>1</v>
      </c>
      <c r="AH89" s="123">
        <f t="shared" si="40"/>
        <v>2</v>
      </c>
      <c r="AI89" s="123">
        <f t="shared" si="41"/>
        <v>3</v>
      </c>
      <c r="AJ89" s="123">
        <f t="shared" si="42"/>
        <v>6</v>
      </c>
      <c r="AK89" s="123" t="s">
        <v>3190</v>
      </c>
      <c r="AL89" s="123">
        <f t="shared" si="43"/>
        <v>-3</v>
      </c>
      <c r="AM89" s="123">
        <f t="shared" si="44"/>
        <v>3</v>
      </c>
      <c r="AN89" s="123">
        <f t="shared" si="45"/>
        <v>1</v>
      </c>
      <c r="AP89" s="123">
        <f>AN89/AN92*10000+AM89/AM92*1000+AI89/AI92*100+IF(AQ89=0,ROW(),AQ89)/2000000</f>
        <v>2004.1674487966666</v>
      </c>
      <c r="AQ89" s="126">
        <f t="shared" si="37"/>
        <v>1564.26</v>
      </c>
      <c r="AR89" s="125" t="str">
        <f t="shared" si="50"/>
        <v>ACDFGHI</v>
      </c>
      <c r="AS89" s="129" t="str">
        <f t="shared" si="46"/>
        <v/>
      </c>
      <c r="AT89" s="130" t="str">
        <f>"Ⓙ "&amp;AE89</f>
        <v>Ⓙ Algeria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Ⓙ Algeria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3 - 6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Sweden</v>
      </c>
      <c r="T90" s="127" t="str" cm="1">
        <f t="array" ref="T90">IF(OR(S90="",S90="draw"),INDEX(T,92,lang),S90)</f>
        <v>Sweden</v>
      </c>
      <c r="AD90" s="123">
        <f t="shared" si="38"/>
        <v>6</v>
      </c>
      <c r="AE90" s="124" t="str">
        <f>J71</f>
        <v>Uzbekistan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1</v>
      </c>
      <c r="AJ90" s="123">
        <f t="shared" si="42"/>
        <v>6</v>
      </c>
      <c r="AK90" s="123" t="s">
        <v>3191</v>
      </c>
      <c r="AL90" s="123">
        <f t="shared" si="43"/>
        <v>-5</v>
      </c>
      <c r="AM90" s="123">
        <f t="shared" si="44"/>
        <v>1</v>
      </c>
      <c r="AN90" s="123">
        <f t="shared" si="45"/>
        <v>3</v>
      </c>
      <c r="AP90" s="123">
        <f>AN90/AN92*10000+AM90/AM92*1000+AI90/AI92*100+IF(AQ90=0,ROW(),AQ90)/2000000</f>
        <v>5112.5007326699997</v>
      </c>
      <c r="AQ90" s="126">
        <f t="shared" si="37"/>
        <v>1465.34</v>
      </c>
      <c r="AR90" s="125" t="str">
        <f t="shared" si="50"/>
        <v>ACDFGHIK</v>
      </c>
      <c r="AS90" s="129" t="str">
        <f t="shared" si="46"/>
        <v>Uzbekistan</v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Panama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0 - 5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Panama</v>
      </c>
      <c r="AF91" s="123">
        <f t="shared" si="39"/>
        <v>0</v>
      </c>
      <c r="AG91" s="123">
        <f t="shared" si="49"/>
        <v>1</v>
      </c>
      <c r="AH91" s="123">
        <f>VLOOKUP($AE91,$AE$8:$AQ$78,4,FALSE)</f>
        <v>2</v>
      </c>
      <c r="AI91" s="123">
        <f>VLOOKUP($AE91,$AE$8:$AQ$78,5,FALSE)</f>
        <v>0</v>
      </c>
      <c r="AJ91" s="123">
        <f>VLOOKUP($AE91,$AE$8:$AQ$78,6,FALSE)</f>
        <v>5</v>
      </c>
      <c r="AK91" s="123" t="s">
        <v>3192</v>
      </c>
      <c r="AL91" s="123">
        <f>VLOOKUP($AE91,$AE$8:$AQ$78,8,FALSE)</f>
        <v>-5</v>
      </c>
      <c r="AM91" s="123">
        <f t="shared" si="44"/>
        <v>1</v>
      </c>
      <c r="AN91" s="123">
        <f>VLOOKUP($AE91,$AE$8:$AQ$78,10,FALSE)</f>
        <v>1</v>
      </c>
      <c r="AP91" s="123">
        <f>AN91/AN92*10000+AM91/AM92*1000+AI91/AI92*100+IF(AQ91=0,ROW(),AQ91)/2000000</f>
        <v>1766.6674369866664</v>
      </c>
      <c r="AQ91" s="126">
        <f t="shared" si="37"/>
        <v>1540.64</v>
      </c>
      <c r="AR91" s="125" t="str">
        <f t="shared" si="50"/>
        <v>ACDFGHIK</v>
      </c>
      <c r="AS91" s="129" t="str">
        <f t="shared" si="46"/>
        <v/>
      </c>
      <c r="AT91" s="130" t="str">
        <f>"Ⓛ "&amp;AE91</f>
        <v>Ⓛ Panama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Ⓑ Qatar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0 - 5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8</v>
      </c>
      <c r="AJ92" s="123">
        <f>MAX(AJ80:AJ91)+1</f>
        <v>9</v>
      </c>
      <c r="AL92" s="123">
        <f>MIN(AL80:AL91)</f>
        <v>-6</v>
      </c>
      <c r="AM92" s="123">
        <f>MAX(AM80:AM91)+1</f>
        <v>10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Germany</v>
      </c>
      <c r="T95" s="127" t="str" cm="1">
        <f t="array" ref="T95">IF(OR(S95="",S95="draw"),INDEX(T,94,lang),S95)</f>
        <v>Germany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Germany</v>
      </c>
      <c r="T102" s="127" t="str" cm="1">
        <f t="array" ref="T102">IF(OR(S102="",S102="draw"),INDEX(T,98,lang),S102)</f>
        <v>Germany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topLeftCell="A138" workbookViewId="0">
      <selection activeCell="A155" sqref="A155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249</v>
      </c>
      <c r="C3" s="121" t="str">
        <f>'2026 World Cup'!AR91</f>
        <v>ACDFGHIK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3F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3I</v>
      </c>
      <c r="K3" s="122" t="str">
        <f>VLOOKUP($C3,$C$6:$K$500,9,FALSE)</f>
        <v>3K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E39FCCE5B25D41843728463D8702CD" ma:contentTypeVersion="3" ma:contentTypeDescription="Opprett et nytt dokument." ma:contentTypeScope="" ma:versionID="f526c9bbb9da171fc3aa15898664257d">
  <xsd:schema xmlns:xsd="http://www.w3.org/2001/XMLSchema" xmlns:xs="http://www.w3.org/2001/XMLSchema" xmlns:p="http://schemas.microsoft.com/office/2006/metadata/properties" xmlns:ns2="3dacec4a-16e0-4c23-af47-b0328532aa0c" targetNamespace="http://schemas.microsoft.com/office/2006/metadata/properties" ma:root="true" ma:fieldsID="9f692aa5e1eb72d1d7d7719d109e8ca1" ns2:_="">
    <xsd:import namespace="3dacec4a-16e0-4c23-af47-b0328532a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acec4a-16e0-4c23-af47-b0328532a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F2755C-7257-4D5F-AF86-12019DEAC0E2}"/>
</file>

<file path=customXml/itemProps2.xml><?xml version="1.0" encoding="utf-8"?>
<ds:datastoreItem xmlns:ds="http://schemas.openxmlformats.org/officeDocument/2006/customXml" ds:itemID="{86966D84-B723-45D5-A747-04417988E5F4}"/>
</file>

<file path=customXml/itemProps3.xml><?xml version="1.0" encoding="utf-8"?>
<ds:datastoreItem xmlns:ds="http://schemas.openxmlformats.org/officeDocument/2006/customXml" ds:itemID="{0ADAB933-F774-47EE-B894-DD3F300C78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Runa Brandal Myklebust</cp:lastModifiedBy>
  <cp:revision/>
  <dcterms:created xsi:type="dcterms:W3CDTF">2017-12-27T19:32:51Z</dcterms:created>
  <dcterms:modified xsi:type="dcterms:W3CDTF">2026-06-16T11:46:41Z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0x01010090E39FCCE5B25D41843728463D8702CD</vt:lpwstr>
  </property>
</Properties>
</file>