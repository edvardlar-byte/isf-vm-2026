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B26261D9-834F-4D50-AFFE-C8075B435BAB}" xr6:coauthVersionLast="47" xr6:coauthVersionMax="47" xr10:uidLastSave="{00000000-0000-0000-0000-000000000000}"/>
  <bookViews>
    <workbookView xWindow="38280" yWindow="-120" windowWidth="38640" windowHeight="211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S45" i="3"/>
  <c r="T45" i="3" s="1"/>
  <c r="S18" i="3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S47" i="3"/>
  <c r="S67" i="3"/>
  <c r="S72" i="3"/>
  <c r="T46" i="3"/>
  <c r="S70" i="3"/>
  <c r="T21" i="3"/>
  <c r="S42" i="3"/>
  <c r="S64" i="3"/>
  <c r="T18" i="3"/>
  <c r="S40" i="3"/>
  <c r="S62" i="3"/>
  <c r="T61" i="3"/>
  <c r="S38" i="3"/>
  <c r="S65" i="3"/>
  <c r="S55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49" i="3" l="1"/>
  <c r="T41" i="3"/>
  <c r="T25" i="3"/>
  <c r="T11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70" i="3" l="1"/>
  <c r="AD58" i="3"/>
  <c r="AR11" i="3"/>
  <c r="AR10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9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J33" i="3" l="1"/>
  <c r="AS32" i="3" s="1"/>
  <c r="BL10" i="3" s="1"/>
  <c r="N69" i="3"/>
  <c r="J69" i="3"/>
  <c r="AS68" i="3" s="1"/>
  <c r="BL70" i="3" s="1"/>
  <c r="M69" i="3"/>
  <c r="L69" i="3"/>
  <c r="M35" i="3"/>
  <c r="L36" i="3"/>
  <c r="O36" i="3"/>
  <c r="N36" i="3"/>
  <c r="J36" i="3"/>
  <c r="O34" i="3"/>
  <c r="N35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S88" i="3" l="1"/>
  <c r="T88" i="3" s="1" a="1"/>
  <c r="T88" i="3" s="1"/>
  <c r="S86" i="3"/>
  <c r="T86" i="3" s="1" a="1"/>
  <c r="T86" i="3" s="1"/>
  <c r="BS28" i="3"/>
  <c r="P69" i="3"/>
  <c r="K69" i="3"/>
  <c r="P35" i="3"/>
  <c r="K36" i="3"/>
  <c r="P34" i="3"/>
  <c r="P72" i="3"/>
  <c r="K72" i="3"/>
  <c r="P71" i="3"/>
  <c r="K71" i="3"/>
  <c r="P70" i="3"/>
  <c r="K70" i="3"/>
  <c r="AI90" i="3"/>
  <c r="AF90" i="3"/>
  <c r="AG90" i="3"/>
  <c r="AH90" i="3"/>
  <c r="AJ90" i="3"/>
  <c r="AL90" i="3"/>
  <c r="AN90" i="3"/>
  <c r="AT90" i="3"/>
  <c r="P33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8" i="3"/>
  <c r="BS69" i="3" l="1"/>
  <c r="BZ65" i="3" s="1"/>
  <c r="CG56" i="3" s="1"/>
  <c r="CN38" i="3" s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<sst xmlns="http://schemas.openxmlformats.org/spreadsheetml/2006/main" count="9786" uniqueCount="3698">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</sst>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42578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110" zoomScaleNormal="110" workbookViewId="0">
      <selection activeCell="CP50" sqref="CP50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42578125" style="5" customWidth="1"/>
    <col min="6" max="7" width="4.28515625" style="6" customWidth="1"/>
    <col min="8" max="8" width="22.42578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90000009.607983366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4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0</v>
      </c>
      <c r="AN9" s="123">
        <f>AF9*3+AG9</f>
        <v>2</v>
      </c>
      <c r="AO9" s="123">
        <f>AN9/AN12*10+BA9</f>
        <v>2</v>
      </c>
      <c r="AP9" s="123">
        <f>AO9*10000000+BI9*100+AM9/AM12*10+AI9/AI12*1++IF(AQ9=0,ROW(),AQ9)/2000000</f>
        <v>20000000.286429152</v>
      </c>
      <c r="AQ9" s="126">
        <f>VLOOKUP(AE9,db_fifarank,2,FALSE)</f>
        <v>1429.73</v>
      </c>
      <c r="AR9" s="125">
        <f>AP9/AP12</f>
        <v>0.22222219921221956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1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40000001.536508612</v>
      </c>
      <c r="AQ10" s="126">
        <f>VLOOKUP(AE10,db_fifarank,2,FALSE)</f>
        <v>1588.66</v>
      </c>
      <c r="AR10" s="125">
        <f>AP10/AP12</f>
        <v>0.4444444091316635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1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2 - 4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4</v>
      </c>
      <c r="AL11" s="123">
        <f>AI11-AJ11</f>
        <v>-2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10000000.286464976</v>
      </c>
      <c r="AQ11" s="126">
        <f>VLOOKUP(AE11,db_fifarank,2,FALSE)</f>
        <v>1501.38</v>
      </c>
      <c r="AR11" s="125">
        <f>AP11/AP12</f>
        <v>0.1111111011977807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90000010.607983366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8</v>
      </c>
      <c r="AJ14" s="123">
        <f>SUMIF($E$7:$E$78,$AE14,$G$7:$G$78) + SUMIF($H$7:$H$78,$AE14,$F$7:$F$78)</f>
        <v>4</v>
      </c>
      <c r="AL14" s="123">
        <f>AI14-AJ14</f>
        <v>4</v>
      </c>
      <c r="AM14" s="123">
        <f>AL14-AL18</f>
        <v>9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90000009.889667138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8 - 4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8</v>
      </c>
      <c r="AL15" s="123">
        <f>AI15-AJ15</f>
        <v>-5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0.3340262533333333</v>
      </c>
      <c r="AQ15" s="126">
        <f>VLOOKUP(AE15,db_fifarank,2,FALSE)</f>
        <v>1385.84</v>
      </c>
      <c r="AR15" s="125">
        <f>AP15/AP18</f>
        <v>3.7114023657488548E-9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New Zealand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5</v>
      </c>
      <c r="AL16" s="123">
        <f>AI16-AJ16</f>
        <v>-2</v>
      </c>
      <c r="AM16" s="123">
        <f>AL16-AL18</f>
        <v>3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30000003.334060811</v>
      </c>
      <c r="AQ16" s="126">
        <f>VLOOKUP(AE16,db_fifarank,2,FALSE)</f>
        <v>1454.96</v>
      </c>
      <c r="AR16" s="125">
        <f>AP16/AP18</f>
        <v>0.33333333004635335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0</v>
      </c>
      <c r="AH17" s="123">
        <f>COUNTIF($S$7:$T$78,"=" &amp; AE17 &amp; "_lose")</f>
        <v>1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8</v>
      </c>
      <c r="AN17" s="123">
        <f>AF17*3+AG17</f>
        <v>6</v>
      </c>
      <c r="AO17" s="123">
        <f>AN17/AN18*10+BA17</f>
        <v>6</v>
      </c>
      <c r="AP17" s="123">
        <f>AO17*10000000+BI17*100+AM17/AM18*10+AI17/AI18*1++IF(AQ17=0,ROW(),AQ17)/2000000</f>
        <v>60000008.55638025</v>
      </c>
      <c r="AQ17" s="126">
        <f>VLOOKUP(AE17,db_fifarank,2,FALSE)</f>
        <v>1649.4</v>
      </c>
      <c r="AR17" s="125">
        <f>AP17/AP18</f>
        <v>0.66666668107335558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3 - 8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9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90000010.889667138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3</v>
      </c>
      <c r="AL20" s="123">
        <f>AI20-AJ20</f>
        <v>4</v>
      </c>
      <c r="AM20" s="123">
        <f>AL20-AL24</f>
        <v>10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87500009.966789678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Switzerland</v>
      </c>
      <c r="BT20" s="61">
        <v>1</v>
      </c>
      <c r="BU20" s="63">
        <v>1</v>
      </c>
      <c r="BV20" s="25"/>
      <c r="BW20" s="116">
        <f>IF(OR(BT20="",BT21="",AND(BU20="",BU21&lt;&gt;""),AND(BU21="",BU20&lt;&gt;""),AND(BV20="",BV21&lt;&gt;""),AND(BV21="",BV20&lt;&gt;"")),"",BT20*1000+BU20*10+BV20)</f>
        <v>1010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8</v>
      </c>
      <c r="AN21" s="123">
        <f>AF21*3+AG21</f>
        <v>6</v>
      </c>
      <c r="AO21" s="123">
        <f>AN21/AN24*10+BA21</f>
        <v>7.5</v>
      </c>
      <c r="AP21" s="123">
        <f>AO21*10000000+BI21*100+AM21/AM24*10+AI21/AI24*1++IF(AQ21=0,ROW(),AQ21)/2000000</f>
        <v>75000008.023605198</v>
      </c>
      <c r="AQ21" s="126">
        <f>VLOOKUP(AE21,db_fifarank,2,FALSE)</f>
        <v>1755.87</v>
      </c>
      <c r="AR21" s="125">
        <f>AP21/AP24</f>
        <v>0.85714284141142782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>
        <v>2</v>
      </c>
      <c r="BV21" s="27"/>
      <c r="BW21" s="112">
        <f>IF(BW20="","",BT21*1000+BU21*10+BV21)</f>
        <v>1020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8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0.25064585499999997</v>
      </c>
      <c r="AQ22" s="126">
        <f>VLOOKUP(AE22,db_fifarank,2,FALSE)</f>
        <v>1291.71</v>
      </c>
      <c r="AR22" s="125">
        <f>AP22/AP24</f>
        <v>2.8645236981185263E-9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1</v>
      </c>
      <c r="BO22" s="25"/>
      <c r="BP22" s="116">
        <f>IF(OR(BM22="",BM23="",AND(BN22="",BN23&lt;&gt;""),AND(BN23="",BN22&lt;&gt;""),AND(BO22="",BO23&lt;&gt;""),AND(BO23="",BO22&lt;&gt;"")),"",BM22*1000+BN22*10+BO22)</f>
        <v>1010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5 - 5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6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50000006.080294631</v>
      </c>
      <c r="AQ23" s="126">
        <f>VLOOKUP(AE23,db_fifarank,2,FALSE)</f>
        <v>1498.35</v>
      </c>
      <c r="AR23" s="125">
        <f>AP23/AP24</f>
        <v>0.57142856929780228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>
        <v>2</v>
      </c>
      <c r="BO23" s="27"/>
      <c r="BP23" s="112">
        <f>IF(BP22="","",BM23*1000+BN23*10+BO23)</f>
        <v>1020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1020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11</v>
      </c>
      <c r="AN24" s="123">
        <f>MAX(AN20:AN23)+1</f>
        <v>8</v>
      </c>
      <c r="AO24" s="123">
        <f>MAX(AO20:AO23)+1</f>
        <v>9.75</v>
      </c>
      <c r="AP24" s="123">
        <f>MAX(AP20:AP23)+1</f>
        <v>87500010.966789678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>
        <v>1</v>
      </c>
      <c r="CJ24" s="27"/>
      <c r="CK24" s="113">
        <f>IF(CK23="","",CH24*1000+CI24*10+CJ24)</f>
        <v>1010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2</v>
      </c>
      <c r="AH26" s="123">
        <f>COUNTIF($S$7:$T$78,"=" &amp; AE26 &amp; "_lose")</f>
        <v>1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3</v>
      </c>
      <c r="AL26" s="123">
        <f>AI26-AJ26</f>
        <v>-1</v>
      </c>
      <c r="AM26" s="123">
        <f>AL26-AL30</f>
        <v>0</v>
      </c>
      <c r="AN26" s="123">
        <f>AF26*3+AG26</f>
        <v>2</v>
      </c>
      <c r="AO26" s="123">
        <f>AN26/AN30*10+BA26</f>
        <v>4.3186274509803919</v>
      </c>
      <c r="AP26" s="123">
        <f>AO26*10000000+BI26*100+AM26/AM30*10+AI26/AI30*1++IF(AQ26=0,ROW(),AQ26)/2000000</f>
        <v>43186373.373385586</v>
      </c>
      <c r="AQ26" s="126">
        <f>VLOOKUP(AE26,db_fifarank,2,FALSE)</f>
        <v>1673.13</v>
      </c>
      <c r="AR26" s="125">
        <f>AP26/AP30</f>
        <v>0.46319716132140315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100.5</v>
      </c>
      <c r="BA26" s="126">
        <f>AZ26/AZ30</f>
        <v>0.98529411764705888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100.5</v>
      </c>
      <c r="BI26" s="126">
        <f>BH26/BH30</f>
        <v>0.98529411764705888</v>
      </c>
      <c r="BK26" s="14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5 - 4</v>
      </c>
      <c r="P27" s="32">
        <f>L27*3+M27</f>
        <v>5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4</v>
      </c>
      <c r="AL27" s="123">
        <f>AI27-AJ27</f>
        <v>1</v>
      </c>
      <c r="AM27" s="123">
        <f>AL27-AL30</f>
        <v>2</v>
      </c>
      <c r="AN27" s="123">
        <f>AF27*3+AG27</f>
        <v>5</v>
      </c>
      <c r="AO27" s="123">
        <f>AN27/AN30*10+BA27</f>
        <v>9.3235294117647065</v>
      </c>
      <c r="AP27" s="123">
        <f>AO27*10000000+BI27*100+AM27/AM30*10+AI27/AI30*1++IF(AQ27=0,ROW(),AQ27)/2000000</f>
        <v>93235400.638006657</v>
      </c>
      <c r="AQ27" s="126">
        <f>VLOOKUP(AE27,db_fifarank,2,FALSE)</f>
        <v>1503.5</v>
      </c>
      <c r="AR27" s="125">
        <f>AP27/AP30</f>
        <v>0.99999998927446032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101</v>
      </c>
      <c r="BA27" s="126">
        <f>AZ27/AZ30</f>
        <v>0.99019607843137258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0.99019607843137258</v>
      </c>
      <c r="BK27" s="142"/>
      <c r="BL27" s="26" t="str">
        <f>AS75</f>
        <v>Panama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2</v>
      </c>
      <c r="AH28" s="123">
        <f>COUNTIF($S$7:$T$78,"=" &amp; AE28 &amp; "_lose")</f>
        <v>0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3</v>
      </c>
      <c r="AL28" s="123">
        <f>AI28-AJ28</f>
        <v>1</v>
      </c>
      <c r="AM28" s="123">
        <f>AL28-AL30</f>
        <v>2</v>
      </c>
      <c r="AN28" s="123">
        <f>AF28*3+AG28</f>
        <v>5</v>
      </c>
      <c r="AO28" s="123">
        <f>AN28/AN30*10+BA28</f>
        <v>9.3235294117647065</v>
      </c>
      <c r="AP28" s="123">
        <f>AO28*10000000+BI28*100+AM28/AM30*10+AI28/AI30*1++IF(AQ28=0,ROW(),AQ28)/2000000</f>
        <v>93235400.47137858</v>
      </c>
      <c r="AQ28" s="126">
        <f>VLOOKUP(AE28,db_fifarank,2,FALSE)</f>
        <v>1580.67</v>
      </c>
      <c r="AR28" s="125">
        <f>AP28/AP30</f>
        <v>0.99999998748728425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2</v>
      </c>
      <c r="AW28" s="126" cm="1">
        <f t="array" ref="AW28">SUMPRODUCT(($E$7:$E$78=AE28)*($U$7:$U$78)*($G$7:$G$78))+SUMPRODUCT(($H$7:$H$78=AE28)*($U$7:$U$78)*($F$7:$F$78))</f>
        <v>2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101</v>
      </c>
      <c r="BA28" s="126">
        <f>AZ28/AZ30</f>
        <v>0.99019607843137258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2</v>
      </c>
      <c r="BE28" s="126" cm="1">
        <f t="array" ref="BE28">SUMPRODUCT(($E$7:$E$78=AE28)*($X$7:$X$78)*($G$7:$G$78))+SUMPRODUCT(($H$7:$H$78=AE28)*($X$7:$X$78)*($F$7:$F$78))</f>
        <v>2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101</v>
      </c>
      <c r="BI28" s="126">
        <f>BH28/BH30</f>
        <v>0.99019607843137258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2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2000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2</v>
      </c>
      <c r="AH29" s="123">
        <f>COUNTIF($S$7:$T$78,"=" &amp; AE29 &amp; "_lose")</f>
        <v>1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4</v>
      </c>
      <c r="AL29" s="123">
        <f>AI29-AJ29</f>
        <v>-1</v>
      </c>
      <c r="AM29" s="123">
        <f>AL29-AL30</f>
        <v>0</v>
      </c>
      <c r="AN29" s="123">
        <f>AF29*3+AG29</f>
        <v>2</v>
      </c>
      <c r="AO29" s="123">
        <f>AN29/AN30*10+BA29</f>
        <v>4.3186274509803919</v>
      </c>
      <c r="AP29" s="123">
        <f>AO29*10000000+BI29*100+AM29/AM30*10+AI29/AI30*1++IF(AQ29=0,ROW(),AQ29)/2000000</f>
        <v>43186373.540015206</v>
      </c>
      <c r="AQ29" s="126">
        <f>VLOOKUP(AE29,db_fifarank,2,FALSE)</f>
        <v>1599.04</v>
      </c>
      <c r="AR29" s="125">
        <f>AP29/AP30</f>
        <v>0.46319716310859577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100.5</v>
      </c>
      <c r="BA29" s="126">
        <f>AZ29/AZ30</f>
        <v>0.98529411764705888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100.5</v>
      </c>
      <c r="BI29" s="126">
        <f>BH29/BH30</f>
        <v>0.98529411764705888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2 - 3</v>
      </c>
      <c r="P30" s="37">
        <f>L30*3+M30</f>
        <v>2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1</v>
      </c>
      <c r="AH30" s="123">
        <f t="shared" si="15"/>
        <v>2</v>
      </c>
      <c r="AI30" s="123">
        <f>MAX(AI26:AI29)+1</f>
        <v>6</v>
      </c>
      <c r="AL30" s="123">
        <f>MIN(AL26:AL29)</f>
        <v>-1</v>
      </c>
      <c r="AM30" s="123">
        <f>MAX(AM26:AM29)+1</f>
        <v>3</v>
      </c>
      <c r="AN30" s="123">
        <f>MAX(AN26:AN29)+1</f>
        <v>6</v>
      </c>
      <c r="AO30" s="123">
        <f>MAX(AO26:AO29)+1</f>
        <v>10.323529411764707</v>
      </c>
      <c r="AP30" s="123">
        <f>MAX(AP26:AP29)+1</f>
        <v>93235401.638006657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102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102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90000010.264754087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0.11175843611111111</v>
      </c>
      <c r="AQ33" s="126">
        <f>VLOOKUP(AE33,db_fifarank,2,FALSE)</f>
        <v>1294.6500000000001</v>
      </c>
      <c r="AR33" s="125">
        <f>AP33/AP36</f>
        <v>1.24176024581097E-9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Paraguay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4</v>
      </c>
      <c r="AL34" s="123">
        <f>AI34-AJ34</f>
        <v>-2</v>
      </c>
      <c r="AM34" s="123">
        <f>AL34-AL36</f>
        <v>6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30000003.972988714</v>
      </c>
      <c r="AQ34" s="126">
        <f>VLOOKUP(AE34,db_fifarank,2,FALSE)</f>
        <v>1532.98</v>
      </c>
      <c r="AR34" s="125">
        <f>AP34/AP36</f>
        <v>0.33333333575634061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Paraguay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60000007.431352943</v>
      </c>
      <c r="AQ35" s="126">
        <f>VLOOKUP(AE35,db_fifarank,2,FALSE)</f>
        <v>1594.78</v>
      </c>
      <c r="AR35" s="125">
        <f>AP35/AP36</f>
        <v>0.66666666579463219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90000011.264754087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Paraguay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0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Saudi Arabia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90000009.608021781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Egypt</v>
      </c>
      <c r="BM38" s="61">
        <v>0</v>
      </c>
      <c r="BN38" s="63">
        <v>0</v>
      </c>
      <c r="BO38" s="25">
        <v>2</v>
      </c>
      <c r="BP38" s="116">
        <f>IF(OR(BM38="",BM39="",AND(BN38="",BN39&lt;&gt;""),AND(BN39="",BN38&lt;&gt;""),AND(BO38="",BO39&lt;&gt;""),AND(BO39="",BO38&lt;&gt;"")),"",BM38*1000+BN38*10+BO38)</f>
        <v>2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4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40000005.572258793</v>
      </c>
      <c r="AQ39" s="126">
        <f>VLOOKUP(AE39,db_fifarank,2,FALSE)</f>
        <v>1660.43</v>
      </c>
      <c r="AR39" s="125">
        <f>AP39/AP42</f>
        <v>0.44444445397313714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Saudi Arabia</v>
      </c>
      <c r="BM39" s="62">
        <v>0</v>
      </c>
      <c r="BN39" s="64">
        <v>0</v>
      </c>
      <c r="BO39" s="27">
        <v>3</v>
      </c>
      <c r="BP39" s="112">
        <f>IF(BP38="","",BM39*1000+BN39*10+BO39)</f>
        <v>3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1</v>
      </c>
      <c r="AN40" s="123">
        <f>AF40*3+AG40</f>
        <v>1</v>
      </c>
      <c r="AO40" s="123">
        <f>AN40/AN42*10+BA40</f>
        <v>1</v>
      </c>
      <c r="AP40" s="123">
        <f>AO40*10000000+BI40*100+AM40/AM42*10+AI40/AI42*1++IF(AQ40=0,ROW(),AQ40)/2000000</f>
        <v>10000001.53647167</v>
      </c>
      <c r="AQ40" s="126">
        <f>VLOOKUP(AE40,db_fifarank,2,FALSE)</f>
        <v>1514.77</v>
      </c>
      <c r="AR40" s="125">
        <f>AP40/AP42</f>
        <v>0.11111111508669491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1 - 4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4</v>
      </c>
      <c r="AL41" s="123">
        <f>AI41-AJ41</f>
        <v>-3</v>
      </c>
      <c r="AM41" s="123">
        <f>AL41-AL42</f>
        <v>0</v>
      </c>
      <c r="AN41" s="123">
        <f>AF41*3+AG41</f>
        <v>3</v>
      </c>
      <c r="AO41" s="123">
        <f>AN41/AN42*10+BA41</f>
        <v>3</v>
      </c>
      <c r="AP41" s="123">
        <f>AO41*10000000+BI41*100+AM41/AM42*10+AI41/AI42*1++IF(AQ41=0,ROW(),AQ41)/2000000</f>
        <v>30000000.143598668</v>
      </c>
      <c r="AQ41" s="126">
        <f>VLOOKUP(AE41,db_fifarank,2,FALSE)</f>
        <v>1483.05</v>
      </c>
      <c r="AR41" s="125">
        <f>AP41/AP42</f>
        <v>0.33333329563990899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2 - 4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-3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90000010.608021781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2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4</v>
      </c>
      <c r="AL44" s="123">
        <f>AI44-AJ44</f>
        <v>1</v>
      </c>
      <c r="AM44" s="123">
        <f>AL44-AL48</f>
        <v>4</v>
      </c>
      <c r="AN44" s="123">
        <f>AF44*3+AG44</f>
        <v>5</v>
      </c>
      <c r="AO44" s="123">
        <f>AN44/AN48*10+BA44</f>
        <v>6.25</v>
      </c>
      <c r="AP44" s="123">
        <f>AO44*10000000+BI44*100+AM44/AM48*10+AI44/AI48*1++IF(AQ44=0,ROW(),AQ44)/2000000</f>
        <v>62500006.429438785</v>
      </c>
      <c r="AQ44" s="126">
        <f>VLOOKUP(AE44,db_fifarank,2,FALSE)</f>
        <v>1734.71</v>
      </c>
      <c r="AR44" s="125">
        <f>AP44/AP48</f>
        <v>0.71428570262744018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>
        <v>2</v>
      </c>
      <c r="BV44" s="25"/>
      <c r="BW44" s="112">
        <f>IF(OR(BT44="",BT45="",AND(BU44="",BU45&lt;&gt;""),AND(BU45="",BU44&lt;&gt;""),AND(BV44="",BV45&lt;&gt;""),AND(BV45="",BV44&lt;&gt;"")),"",BT44*1000+BU44*10+BV44)</f>
        <v>2020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6 - 3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3</v>
      </c>
      <c r="AL45" s="123">
        <f>AI45-AJ45</f>
        <v>3</v>
      </c>
      <c r="AM45" s="123">
        <f>AL45-AL48</f>
        <v>6</v>
      </c>
      <c r="AN45" s="123">
        <f>AF45*3+AG45</f>
        <v>7</v>
      </c>
      <c r="AO45" s="123">
        <f>AN45/AN48*10+BA45</f>
        <v>8.75</v>
      </c>
      <c r="AP45" s="123">
        <f>AO45*10000000+BI45*100+AM45/AM48*10+AI45/AI48*1++IF(AQ45=0,ROW(),AQ45)/2000000</f>
        <v>87500009.429353043</v>
      </c>
      <c r="AQ45" s="126">
        <f>VLOOKUP(AE45,db_fifarank,2,FALSE)</f>
        <v>1563.24</v>
      </c>
      <c r="AR45" s="125">
        <f>AP45/AP48</f>
        <v>0.99999998857142991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2</v>
      </c>
      <c r="BU45" s="64">
        <v>3</v>
      </c>
      <c r="BV45" s="27"/>
      <c r="BW45" s="113">
        <f>IF(BW44="","",BT45*1000+BU45*10+BV45)</f>
        <v>2030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5 - 4</v>
      </c>
      <c r="P46" s="34">
        <f>L46*3+M46</f>
        <v>5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1.25</v>
      </c>
      <c r="AP46" s="123">
        <f>AO46*10000000+BI46*100+AM46/AM48*10+AI46/AI48*1++IF(AQ46=0,ROW(),AQ46)/2000000</f>
        <v>12500000.143664794</v>
      </c>
      <c r="AQ46" s="126">
        <f>VLOOKUP(AE46,db_fifarank,2,FALSE)</f>
        <v>1615.3</v>
      </c>
      <c r="AR46" s="125">
        <f>AP46/AP48</f>
        <v>0.14285712747151288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4</v>
      </c>
      <c r="AL47" s="123">
        <f>AI47-AJ47</f>
        <v>-1</v>
      </c>
      <c r="AM47" s="123">
        <f>AL47-AL48</f>
        <v>2</v>
      </c>
      <c r="AN47" s="123">
        <f>AF47*3+AG47</f>
        <v>3</v>
      </c>
      <c r="AO47" s="123">
        <f>AN47/AN48*10+BA47</f>
        <v>3.75</v>
      </c>
      <c r="AP47" s="123">
        <f>AO47*10000000+BI47*100+AM47/AM48*10+AI47/AI48*1++IF(AQ47=0,ROW(),AQ47)/2000000</f>
        <v>37500003.286355071</v>
      </c>
      <c r="AQ47" s="126">
        <f>VLOOKUP(AE47,db_fifarank,2,FALSE)</f>
        <v>1281.57</v>
      </c>
      <c r="AR47" s="125">
        <f>AP47/AP48</f>
        <v>0.42857141504722834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1</v>
      </c>
      <c r="BN47" s="64">
        <v>2</v>
      </c>
      <c r="BO47" s="27"/>
      <c r="BP47" s="112">
        <f>IF(BP46="","",BM47*1000+BN47*10+BO47)</f>
        <v>1020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-3</v>
      </c>
      <c r="AM48" s="123">
        <f>MAX(AM44:AM47)+1</f>
        <v>7</v>
      </c>
      <c r="AN48" s="123">
        <f>MAX(AN44:AN47)+1</f>
        <v>8</v>
      </c>
      <c r="AO48" s="123">
        <f>MAX(AO44:AO47)+1</f>
        <v>9.75</v>
      </c>
      <c r="AP48" s="123">
        <f>MAX(AP44:AP47)+1</f>
        <v>87500010.429353043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>
        <v>2</v>
      </c>
      <c r="CQ48" s="25"/>
      <c r="CR48" s="111">
        <f>IF(OR(CO48="",CO49="",AND(CP48="",CP49&lt;&gt;""),AND(CP49="",CP48&lt;&gt;""),AND(CQ48="",CQ49&lt;&gt;""),AND(CQ49="",CQ48&lt;&gt;"")),"",CO48*1000+CP48*10+CQ48)</f>
        <v>2020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England</v>
      </c>
      <c r="CO49" s="62">
        <v>2</v>
      </c>
      <c r="CP49" s="64">
        <v>3</v>
      </c>
      <c r="CQ49" s="27"/>
      <c r="CR49" s="111">
        <f>IF(CR48="","",CO49*1000+CP49*10+CQ49)</f>
        <v>2030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3</v>
      </c>
      <c r="AL50" s="123">
        <f>AI50-AJ50</f>
        <v>8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90000010.250938207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4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11 - 3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8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0.16734973166666667</v>
      </c>
      <c r="AQ51" s="126">
        <f>VLOOKUP(AE51,db_fifarank,2,FALSE)</f>
        <v>1366.13</v>
      </c>
      <c r="AR51" s="125">
        <f>AP51/AP54</f>
        <v>1.8594412305134255E-9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2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Panama_win</v>
      </c>
      <c r="T52" s="127" t="str">
        <f t="shared" si="20"/>
        <v>Croatia_lose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30000002.250710715</v>
      </c>
      <c r="AQ52" s="126">
        <f>VLOOKUP(AE52,db_fifarank,2,FALSE)</f>
        <v>1421.43</v>
      </c>
      <c r="AR52" s="125">
        <f>AP52/AP54</f>
        <v>0.33333331667109073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60000005.000836536</v>
      </c>
      <c r="AQ53" s="126">
        <f>VLOOKUP(AE53,db_fifarank,2,FALSE)</f>
        <v>1673.07</v>
      </c>
      <c r="AR53" s="125">
        <f>AP53/AP54</f>
        <v>0.66666663889123756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-6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90000011.250938207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2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>
        <v>1</v>
      </c>
      <c r="CJ55" s="25">
        <v>3</v>
      </c>
      <c r="CK55" s="116">
        <f>IF(OR(CH55="",CH56="",AND(CI55="",CI56&lt;&gt;""),AND(CI56="",CI55&lt;&gt;""),AND(CJ55="",CJ56&lt;&gt;""),AND(CJ56="",CJ55&lt;&gt;"")),"",CH55*1000+CI55*10+CJ55)</f>
        <v>1013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90000009.980736643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>
        <v>1</v>
      </c>
      <c r="CJ56" s="27">
        <v>4</v>
      </c>
      <c r="CK56" s="112">
        <f>IF(CK55="","",CH56*1000+CI56*10+CJ56)</f>
        <v>1014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5</v>
      </c>
      <c r="AL57" s="123">
        <f>AI57-AJ57</f>
        <v>-2</v>
      </c>
      <c r="AM57" s="123">
        <f>AL57-AL60</f>
        <v>3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30000003.061450552</v>
      </c>
      <c r="AQ57" s="126">
        <f>VLOOKUP(AE57,db_fifarank,2,FALSE)</f>
        <v>1688.99</v>
      </c>
      <c r="AR57" s="125">
        <f>AP57/AP60</f>
        <v>0.33333332668005644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1.2426074162929591E-9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7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60000006.919967391</v>
      </c>
      <c r="AQ59" s="126">
        <f>VLOOKUP(AE59,db_fifarank,2,FALSE)</f>
        <v>1550.94</v>
      </c>
      <c r="AR59" s="125">
        <f>AP59/AP60</f>
        <v>0.6666666622164038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-5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90000010.980736643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90000010.186651707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Australia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4</v>
      </c>
      <c r="AN63" s="123">
        <f>AF63*3+AG63</f>
        <v>4</v>
      </c>
      <c r="AO63" s="123">
        <f>AN63/AN66*10+BA63</f>
        <v>4.9803921568627452</v>
      </c>
      <c r="AP63" s="123">
        <f>AO63*10000000+BI63*100+AM63/AM66*10+AI63/AI66*1++IF(AQ63=0,ROW(),AQ63)/2000000</f>
        <v>49804022.665768132</v>
      </c>
      <c r="AQ63" s="126">
        <f>VLOOKUP(AE63,db_fifarank,2,FALSE)</f>
        <v>1564.26</v>
      </c>
      <c r="AR63" s="125">
        <f>AP63/AP66</f>
        <v>0.55337796083690693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4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4</v>
      </c>
      <c r="AO64" s="123">
        <f>AN64/AN66*10+BA64</f>
        <v>4.9803921568627452</v>
      </c>
      <c r="AP64" s="123">
        <f>AO64*10000000+BI64*100+AM64/AM66*10+AI64/AI66*1++IF(AQ64=0,ROW(),AQ64)/2000000</f>
        <v>49804025.008639865</v>
      </c>
      <c r="AQ64" s="126">
        <f>VLOOKUP(AE64,db_fifarank,2,FALSE)</f>
        <v>1593.45</v>
      </c>
      <c r="AR64" s="125">
        <f>AP64/AP66</f>
        <v>0.55337798686881179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</v>
      </c>
      <c r="BA64" s="126">
        <f>AZ64/AZ66</f>
        <v>0.98039215686274506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0.100695725</v>
      </c>
      <c r="AQ65" s="126">
        <f>VLOOKUP(AE65,db_fifarank,2,FALSE)</f>
        <v>1391.45</v>
      </c>
      <c r="AR65" s="125">
        <f>AP65/AP66</f>
        <v>1.1188412498212515E-9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Canada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2</v>
      </c>
      <c r="W66" s="123">
        <f t="shared" si="22"/>
        <v>2</v>
      </c>
      <c r="X66" s="123">
        <f t="shared" si="9"/>
        <v>1</v>
      </c>
      <c r="Y66" s="123">
        <f t="shared" si="10"/>
        <v>2</v>
      </c>
      <c r="Z66" s="123">
        <f t="shared" si="11"/>
        <v>2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-6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90000011.186651707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41">
        <v>85</v>
      </c>
      <c r="BL66" s="24" t="str">
        <f>AS14</f>
        <v>Canada</v>
      </c>
      <c r="BM66" s="61">
        <v>1</v>
      </c>
      <c r="BN66" s="63">
        <v>1</v>
      </c>
      <c r="BO66" s="25">
        <v>2</v>
      </c>
      <c r="BP66" s="112">
        <f>IF(OR(BM66="",BM67="",AND(BN66="",BN67&lt;&gt;""),AND(BN67="",BN66&lt;&gt;""),AND(BO66="",BO67&lt;&gt;""),AND(BO67="",BO66&lt;&gt;"")),"",BM66*1000+BN66*10+BO66)</f>
        <v>1012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1</v>
      </c>
      <c r="BN67" s="64">
        <v>1</v>
      </c>
      <c r="BO67" s="27">
        <v>1</v>
      </c>
      <c r="BP67" s="113">
        <f>IF(BP66="","",BM67*1000+BN67*10+BO67)</f>
        <v>1011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0</v>
      </c>
      <c r="AL68" s="123">
        <f>AI68-AJ68</f>
        <v>6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90000010.088793993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Canada</v>
      </c>
      <c r="BT68" s="61">
        <v>0</v>
      </c>
      <c r="BU68" s="63">
        <v>1</v>
      </c>
      <c r="BV68" s="25"/>
      <c r="BW68" s="116">
        <f>IF(OR(BT68="",BT69="",AND(BU68="",BU69&lt;&gt;""),AND(BU69="",BU68&lt;&gt;""),AND(BV68="",BV69&lt;&gt;""),AND(BV69="",BV68&lt;&gt;"")),"",BT68*1000+BU68*10+BV68)</f>
        <v>10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3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30000002.451288626</v>
      </c>
      <c r="AQ69" s="126">
        <f>VLOOKUP(AE69,db_fifarank,2,FALSE)</f>
        <v>1478.35</v>
      </c>
      <c r="AR69" s="125">
        <f>AP69/AP72</f>
        <v>0.33333331950026795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Croatia</v>
      </c>
      <c r="BT69" s="62">
        <v>0</v>
      </c>
      <c r="BU69" s="64">
        <v>0</v>
      </c>
      <c r="BV69" s="27"/>
      <c r="BW69" s="112">
        <f>IF(BW68="","",BT69*1000+BU69*10+BV69)</f>
        <v>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4 - 1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8.1407767747622588E-12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>
        <v>2</v>
      </c>
      <c r="BO70" s="25"/>
      <c r="BP70" s="116">
        <f>IF(OR(BM70="",BM71="",AND(BN70="",BN71&lt;&gt;""),AND(BN71="",BN70&lt;&gt;""),AND(BO70="",BO71&lt;&gt;""),AND(BO71="",BO70&lt;&gt;"")),"",BM70*1000+BN70*10+BO70)</f>
        <v>2020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60000007.495352037</v>
      </c>
      <c r="AQ71" s="126">
        <f>VLOOKUP(AE71,db_fifarank,2,FALSE)</f>
        <v>1693.09</v>
      </c>
      <c r="AR71" s="125">
        <f>AP71/AP72</f>
        <v>0.66666666780914108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Croatia</v>
      </c>
      <c r="BM71" s="62">
        <v>2</v>
      </c>
      <c r="BN71" s="64">
        <v>3</v>
      </c>
      <c r="BO71" s="27"/>
      <c r="BP71" s="112">
        <f>IF(BP70="","",BM71*1000+BN71*10+BO71)</f>
        <v>2030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7</v>
      </c>
      <c r="AL72" s="123">
        <f>MIN(AL68:AL71)</f>
        <v>-6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90000011.088793993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1</v>
      </c>
      <c r="AL74" s="123">
        <f>AI74-AJ74</f>
        <v>8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90000010.234246314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0</v>
      </c>
      <c r="W75" s="123">
        <f t="shared" si="22"/>
        <v>0</v>
      </c>
      <c r="X75" s="123">
        <f t="shared" si="32"/>
        <v>1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6</v>
      </c>
      <c r="AL75" s="123">
        <f>AI75-AJ75</f>
        <v>-1</v>
      </c>
      <c r="AM75" s="123">
        <f>AL75-AL78</f>
        <v>5</v>
      </c>
      <c r="AN75" s="123">
        <f>AF75*3+AG75</f>
        <v>3</v>
      </c>
      <c r="AO75" s="123">
        <f>AN75/AN78*10+BA75</f>
        <v>3</v>
      </c>
      <c r="AP75" s="123">
        <f>AO75*10000000+BI75*100+AM75/AM78*10+AI75/AI78*1++IF(AQ75=0,ROW(),AQ75)/2000000</f>
        <v>30000003.834191866</v>
      </c>
      <c r="AQ75" s="126">
        <f>VLOOKUP(AE75,db_fifarank,2,FALSE)</f>
        <v>1717.07</v>
      </c>
      <c r="AR75" s="125">
        <f>AP75/AP78</f>
        <v>0.3333333343271454</v>
      </c>
      <c r="AS75" s="125" t="str">
        <f>IF(SUM(AF74:AH77)=12,J76,"2L")</f>
        <v>Panama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Panama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3 - 4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8</v>
      </c>
      <c r="AL76" s="123">
        <f>AI76-AJ76</f>
        <v>-6</v>
      </c>
      <c r="AM76" s="123">
        <f>AL76-AL78</f>
        <v>0</v>
      </c>
      <c r="AN76" s="123">
        <f>AF76*3+AG76</f>
        <v>1</v>
      </c>
      <c r="AO76" s="123">
        <f>AN76/AN78*10+BA76</f>
        <v>1</v>
      </c>
      <c r="AP76" s="123">
        <f>AO76*10000000+BI76*100+AM76/AM78*10+AI76/AI78*1++IF(AQ76=0,ROW(),AQ76)/2000000</f>
        <v>10000000.200673154</v>
      </c>
      <c r="AQ76" s="126">
        <f>VLOOKUP(AE76,db_fifarank,2,FALSE)</f>
        <v>1346.31</v>
      </c>
      <c r="AR76" s="125">
        <f>AP76/AP78</f>
        <v>0.11111109947137437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5 - 6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2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1</v>
      </c>
      <c r="AH77" s="123">
        <f>COUNTIF($S$7:$T$78,"=" &amp; AE77 &amp; "_lose")</f>
        <v>1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4</v>
      </c>
      <c r="AL77" s="123">
        <f>AI77-AJ77</f>
        <v>-1</v>
      </c>
      <c r="AM77" s="123">
        <f>AL77-AL78</f>
        <v>5</v>
      </c>
      <c r="AN77" s="123">
        <f>AF77*3+AG77</f>
        <v>4</v>
      </c>
      <c r="AO77" s="123">
        <f>AN77/AN78*10+BA77</f>
        <v>4</v>
      </c>
      <c r="AP77" s="123">
        <f>AO77*10000000+BI77*100+AM77/AM78*10+AI77/AI78*1++IF(AQ77=0,ROW(),AQ77)/2000000</f>
        <v>40000003.634103656</v>
      </c>
      <c r="AQ77" s="126">
        <f>VLOOKUP(AE77,db_fifarank,2,FALSE)</f>
        <v>1540.64</v>
      </c>
      <c r="AR77" s="125">
        <f>AP77/AP78</f>
        <v>0.44444442934561629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2 - 8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10</v>
      </c>
      <c r="AL78" s="123">
        <f>MIN(AL74:AL77)</f>
        <v>-6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90000011.234246314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12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1</v>
      </c>
      <c r="AN80" s="123">
        <f>VLOOKUP($AE80,$AE$8:$AQ$78,10,FALSE)</f>
        <v>2</v>
      </c>
      <c r="AP80" s="123">
        <f>AN80/AN92*10000+AM80/AM92*1000+AI80/AI92*100+IF(AQ80=0,ROW(),AQ80)/2000000</f>
        <v>4283.3340481983332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6300.00072748</v>
      </c>
      <c r="AQ81" s="126">
        <f t="shared" si="37"/>
        <v>1454.96</v>
      </c>
      <c r="AR81" s="125" t="str">
        <f>AR80&amp;IF(AD81&lt;=8,RIGHT(AK81,1),"")</f>
        <v>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Algeria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2 - 4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8833.3340825083342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Croatia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5 - 6</v>
      </c>
      <c r="P83" s="101">
        <f t="shared" si="48"/>
        <v>3</v>
      </c>
      <c r="AD83" s="123">
        <f t="shared" si="38"/>
        <v>11</v>
      </c>
      <c r="AE83" s="124" t="str">
        <f>J29</f>
        <v>Turkey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4550.0007995200003</v>
      </c>
      <c r="AQ83" s="126">
        <f t="shared" si="37"/>
        <v>1599.04</v>
      </c>
      <c r="AR83" s="125" t="str">
        <f t="shared" si="50"/>
        <v>BC</v>
      </c>
      <c r="AS83" s="129" t="str">
        <f t="shared" si="46"/>
        <v/>
      </c>
      <c r="AT83" s="130" t="str">
        <f>"Ⓓ "&amp;AE83</f>
        <v>Ⓓ Turkey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Ⓖ New Zealand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6283.3340998233334</v>
      </c>
      <c r="AQ84" s="126">
        <f t="shared" si="37"/>
        <v>1532.98</v>
      </c>
      <c r="AR84" s="125" t="str">
        <f t="shared" si="50"/>
        <v>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1</v>
      </c>
      <c r="AJ85" s="123">
        <f t="shared" si="42"/>
        <v>4</v>
      </c>
      <c r="AK85" s="123" t="s">
        <v>3186</v>
      </c>
      <c r="AL85" s="123">
        <f t="shared" si="43"/>
        <v>-3</v>
      </c>
      <c r="AM85" s="123">
        <f t="shared" si="44"/>
        <v>0</v>
      </c>
      <c r="AN85" s="123">
        <f t="shared" si="45"/>
        <v>3</v>
      </c>
      <c r="AP85" s="123">
        <f>AN85/AN92*10000+AM85/AM92*1000+AI85/AI92*100+IF(AQ85=0,ROW(),AQ85)/2000000</f>
        <v>6016.6674081916672</v>
      </c>
      <c r="AQ85" s="126">
        <f t="shared" si="37"/>
        <v>1483.05</v>
      </c>
      <c r="AR85" s="125" t="str">
        <f t="shared" si="50"/>
        <v>BCE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Ⓑ Qatar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6550.0006407849996</v>
      </c>
      <c r="AQ86" s="126">
        <f t="shared" si="37"/>
        <v>1281.57</v>
      </c>
      <c r="AR86" s="125" t="str">
        <f t="shared" si="50"/>
        <v>BCEG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6050.0007107150004</v>
      </c>
      <c r="AQ87" s="126">
        <f t="shared" si="37"/>
        <v>1421.43</v>
      </c>
      <c r="AR87" s="125" t="str">
        <f t="shared" si="50"/>
        <v>BCEGH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1</v>
      </c>
      <c r="AN88" s="123">
        <f t="shared" si="45"/>
        <v>3</v>
      </c>
      <c r="AP88" s="123">
        <f>AN88/AN92*10000+AM88/AM92*1000+AI88/AI92*100+IF(AQ88=0,ROW(),AQ88)/2000000</f>
        <v>6300.0008444949999</v>
      </c>
      <c r="AQ88" s="126">
        <f t="shared" si="37"/>
        <v>1688.99</v>
      </c>
      <c r="AR88" s="125" t="str">
        <f t="shared" si="50"/>
        <v>BCEGHI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Tunisia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2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4</v>
      </c>
      <c r="AP89" s="123">
        <f>AN89/AN92*10000+AM89/AM92*1000+AI89/AI92*100+IF(AQ89=0,ROW(),AQ89)/2000000</f>
        <v>8283.3341154633345</v>
      </c>
      <c r="AQ89" s="126">
        <f t="shared" si="37"/>
        <v>1564.26</v>
      </c>
      <c r="AR89" s="125" t="str">
        <f t="shared" si="50"/>
        <v>BCEGHIJ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10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6016.6674058416666</v>
      </c>
      <c r="AQ90" s="126">
        <f t="shared" si="37"/>
        <v>1478.35</v>
      </c>
      <c r="AR90" s="125" t="str">
        <f t="shared" si="50"/>
        <v>BCEGHIJ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Turkey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3 - 4</v>
      </c>
      <c r="P91" s="104">
        <f t="shared" si="48"/>
        <v>2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Saudi Arabia</v>
      </c>
      <c r="T91" s="127" t="str" cm="1">
        <f t="array" ref="T91">IF(OR(S91="",S91="draw"),INDEX(T,93,lang),S91)</f>
        <v>Saudi Arabia</v>
      </c>
      <c r="AD91" s="123">
        <f t="shared" si="38"/>
        <v>3</v>
      </c>
      <c r="AE91" s="124" t="str">
        <f>J77</f>
        <v>Croatia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6</v>
      </c>
      <c r="AK91" s="123" t="s">
        <v>3192</v>
      </c>
      <c r="AL91" s="123">
        <f>VLOOKUP($AE91,$AE$8:$AQ$78,8,FALSE)</f>
        <v>-1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6583.3341918683327</v>
      </c>
      <c r="AQ91" s="126">
        <f t="shared" si="37"/>
        <v>1717.07</v>
      </c>
      <c r="AR91" s="125" t="str">
        <f t="shared" si="50"/>
        <v>BCEGHIJL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Ⓐ South Africa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2 - 4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Paraguay</v>
      </c>
      <c r="T98" s="127" t="str" cm="1">
        <f t="array" ref="T98">IF(OR(S98="",S98="draw"),INDEX(T,97,lang),S98)</f>
        <v>Paraguay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Paraguay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Paraguay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B158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93</v>
      </c>
      <c r="C3" s="121" t="str">
        <f>'2026 World Cup'!AR91</f>
        <v>BCEGHIJL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3H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5B9FDA-B4A6-41DA-AA1A-C6C2E2981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ec4a-16e0-4c23-af47-b0328532a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BDC999-8387-43E4-8168-C83F751AF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2BB371-DF1E-406E-AEBB-CFD75EEB7DC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dacec4a-16e0-4c23-af47-b0328532aa0c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Sara Seehuus</cp:lastModifiedBy>
  <cp:revision/>
  <dcterms:created xsi:type="dcterms:W3CDTF">2017-12-27T19:32:51Z</dcterms:created>
  <dcterms:modified xsi:type="dcterms:W3CDTF">2026-06-12T08:22:30Z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