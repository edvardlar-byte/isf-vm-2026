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2F2F363D-FAA9-4A58-A63A-A85E5C6DFFF2}" xr6:coauthVersionLast="47" xr6:coauthVersionMax="47" xr10:uidLastSave="{00000000-0000-0000-0000-000000000000}"/>
  <bookViews>
    <workbookView xWindow="780" yWindow="780" windowWidth="26280" windowHeight="17775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41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70" i="3" l="1"/>
  <c r="AD58" i="3"/>
  <c r="AR10" i="3"/>
  <c r="AR11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68" i="3" l="1"/>
  <c r="AD34" i="3"/>
  <c r="AD9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L69" i="3" l="1"/>
  <c r="N69" i="3"/>
  <c r="J71" i="3"/>
  <c r="AE90" i="3" s="1"/>
  <c r="AQ90" i="3" s="1"/>
  <c r="J69" i="3"/>
  <c r="AS68" i="3" s="1"/>
  <c r="BL70" i="3" s="1"/>
  <c r="O69" i="3"/>
  <c r="M69" i="3"/>
  <c r="L36" i="3"/>
  <c r="O34" i="3"/>
  <c r="N35" i="3"/>
  <c r="O36" i="3"/>
  <c r="M72" i="3"/>
  <c r="J72" i="3"/>
  <c r="O72" i="3"/>
  <c r="N72" i="3"/>
  <c r="N36" i="3"/>
  <c r="M35" i="3"/>
  <c r="L72" i="3"/>
  <c r="O71" i="3"/>
  <c r="J36" i="3"/>
  <c r="J33" i="3"/>
  <c r="AS32" i="3" s="1"/>
  <c r="BL10" i="3" s="1"/>
  <c r="N71" i="3"/>
  <c r="M70" i="3"/>
  <c r="O70" i="3"/>
  <c r="M71" i="3"/>
  <c r="L71" i="3"/>
  <c r="N70" i="3"/>
  <c r="J70" i="3"/>
  <c r="AS69" i="3" s="1"/>
  <c r="BL26" i="3" s="1"/>
  <c r="L70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S86" i="3" s="1"/>
  <c r="T86" i="3" s="1" a="1"/>
  <c r="T86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S61" i="3" l="1"/>
  <c r="P69" i="3"/>
  <c r="BS28" i="3"/>
  <c r="AL90" i="3"/>
  <c r="AF90" i="3"/>
  <c r="AJ90" i="3"/>
  <c r="AI90" i="3"/>
  <c r="AT90" i="3"/>
  <c r="AN90" i="3"/>
  <c r="AH90" i="3"/>
  <c r="AG90" i="3"/>
  <c r="K69" i="3"/>
  <c r="P34" i="3"/>
  <c r="P72" i="3"/>
  <c r="K71" i="3"/>
  <c r="K72" i="3"/>
  <c r="K36" i="3"/>
  <c r="P70" i="3"/>
  <c r="P35" i="3"/>
  <c r="P71" i="3"/>
  <c r="P33" i="3"/>
  <c r="K70" i="3"/>
  <c r="P12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S111" i="3" s="1"/>
  <c r="T111" i="3" s="1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Z49" i="3" s="1"/>
  <c r="CG55" i="3" s="1"/>
  <c r="CN49" i="3" s="1"/>
  <c r="BS69" i="3"/>
  <c r="BZ65" i="3" s="1"/>
  <c r="CG56" i="3" s="1"/>
  <c r="CN38" i="3" s="1"/>
  <c r="BS68" i="3"/>
  <c r="S91" i="3" l="1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<sst xmlns="http://schemas.openxmlformats.org/spreadsheetml/2006/main" count="9786" uniqueCount="3698">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</sst>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N52" sqref="CN52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>TIME(HOUR(R7),MINUTE(R7),0)</f>
        <v>0.79166666666666663</v>
      </c>
      <c r="E7" s="77" t="str">
        <f>AE8</f>
        <v>Mexico</v>
      </c>
      <c r="F7" s="14">
        <v>1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0">IF(OR(F7="",G7=""),"",IF(F7&gt;G7,E7&amp;"_win",IF(F7&lt;G7,E7&amp;"_lose",E7&amp;"_draw")))</f>
        <v>Mexico_draw</v>
      </c>
      <c r="T7" s="127" t="str">
        <f t="shared" ref="T7:T46" si="1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2">U7*F7</f>
        <v>0</v>
      </c>
      <c r="W7" s="123">
        <f t="shared" ref="W7:W46" si="3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4">IF(OR(E7=my_team,H7=my_team),1,IF(INT(MATCH(E7,$AE$8:$AE$78,0)/6)=$AA$6,1,0))</f>
        <v>0</v>
      </c>
      <c r="AB7" s="123">
        <f t="shared" ref="AB7:AB46" si="5">IF(OR(F7="",G7=""),"",IF(F7&gt;G7,1,IF(F7&lt;G7,-1,0)))</f>
        <v>0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6">TIME(HOUR(R8),MINUTE(R8),0)</f>
        <v>8.3333333333333329E-2</v>
      </c>
      <c r="E8" s="78" t="str">
        <f>AE10</f>
        <v>Korea Republic</v>
      </c>
      <c r="F8" s="19">
        <v>1</v>
      </c>
      <c r="G8" s="20">
        <v>3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0"/>
        <v>Korea Republic_lose</v>
      </c>
      <c r="T8" s="127" t="str">
        <f t="shared" si="1"/>
        <v>Czech Republic_win</v>
      </c>
      <c r="U8" s="123">
        <f t="shared" ref="U8:U71" si="7">IF(S8="",0,IF(VLOOKUP(E8,$AE$8:$AN$77,10,FALSE)=VLOOKUP(H8,$AE$8:$AN$77,10,FALSE),1,0))</f>
        <v>0</v>
      </c>
      <c r="V8" s="123">
        <f t="shared" si="2"/>
        <v>0</v>
      </c>
      <c r="W8" s="123">
        <f t="shared" si="3"/>
        <v>0</v>
      </c>
      <c r="X8" s="123">
        <f t="shared" ref="X8:X71" si="8">IF(S8="",0,IF(VLOOKUP(E8,$AE$8:$AO$77,11,FALSE)=VLOOKUP(H8,$AE$8:$AO$77,11,FALSE),1,0))</f>
        <v>0</v>
      </c>
      <c r="Y8" s="123">
        <f t="shared" ref="Y8:Y71" si="9">X8*F8</f>
        <v>0</v>
      </c>
      <c r="Z8" s="123">
        <f t="shared" ref="Z8:Z71" si="10">X8*G8</f>
        <v>0</v>
      </c>
      <c r="AA8" s="123">
        <f t="shared" si="4"/>
        <v>0</v>
      </c>
      <c r="AB8" s="123">
        <f t="shared" si="5"/>
        <v>-1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0</v>
      </c>
      <c r="AG8" s="123">
        <f>COUNTIF($S$7:$T$78,"=" &amp; AE8 &amp; "_draw")</f>
        <v>2</v>
      </c>
      <c r="AH8" s="123">
        <f>COUNTIF($S$7:$T$78,"=" &amp; AE8 &amp; "_lose")</f>
        <v>1</v>
      </c>
      <c r="AI8" s="123">
        <f>SUMIF($E$7:$E$78,$AE8,$F$7:$F$78) + SUMIF($H$7:$H$78,$AE8,$G$7:$G$78)</f>
        <v>2</v>
      </c>
      <c r="AJ8" s="123">
        <f>SUMIF($E$7:$E$78,$AE8,$G$7:$G$78) + SUMIF($H$7:$H$78,$AE8,$F$7:$F$78)</f>
        <v>3</v>
      </c>
      <c r="AL8" s="123">
        <f>AI8-AJ8</f>
        <v>-1</v>
      </c>
      <c r="AM8" s="123">
        <f>AL8-AL12</f>
        <v>1</v>
      </c>
      <c r="AN8" s="123">
        <f>AF8*3+AG8</f>
        <v>2</v>
      </c>
      <c r="AO8" s="123">
        <f>AN8/AN12*10+BA8</f>
        <v>2.5</v>
      </c>
      <c r="AP8" s="123">
        <f>AO8*10000000+BI8*100+AM8/AM12*10+AI8/AI12*1++IF(AQ8=0,ROW(),AQ8)/2000000</f>
        <v>25000001.95322147</v>
      </c>
      <c r="AQ8" s="126">
        <f>VLOOKUP(AE8,db_fifarank,2,FALSE)</f>
        <v>1681.03</v>
      </c>
      <c r="AR8" s="125">
        <f>AP8/AP12</f>
        <v>0.28571427522581477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6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46185.791666666672</v>
      </c>
      <c r="S9" s="127" t="str">
        <f t="shared" si="0"/>
        <v>Canada_draw</v>
      </c>
      <c r="T9" s="127" t="str">
        <f t="shared" si="1"/>
        <v>Bosnia and Herzegovina_draw</v>
      </c>
      <c r="U9" s="123">
        <f t="shared" si="7"/>
        <v>0</v>
      </c>
      <c r="V9" s="123">
        <f t="shared" si="2"/>
        <v>0</v>
      </c>
      <c r="W9" s="123">
        <f t="shared" si="3"/>
        <v>0</v>
      </c>
      <c r="X9" s="123">
        <f t="shared" si="8"/>
        <v>0</v>
      </c>
      <c r="Y9" s="123">
        <f t="shared" si="9"/>
        <v>0</v>
      </c>
      <c r="Z9" s="123">
        <f t="shared" si="10"/>
        <v>0</v>
      </c>
      <c r="AA9" s="123">
        <f t="shared" si="4"/>
        <v>0</v>
      </c>
      <c r="AB9" s="123">
        <f t="shared" si="5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4</v>
      </c>
      <c r="AJ9" s="123">
        <f>SUMIF($E$7:$E$78,$AE9,$G$7:$G$78) + SUMIF($H$7:$H$78,$AE9,$F$7:$F$78)</f>
        <v>6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12500000.572143435</v>
      </c>
      <c r="AQ9" s="126">
        <f>VLOOKUP(AE9,db_fifarank,2,FALSE)</f>
        <v>1429.73</v>
      </c>
      <c r="AR9" s="125">
        <f>AP9/AP12</f>
        <v>0.14285713299042449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6"/>
        <v>4.1666666666666664E-2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6 - 6</v>
      </c>
      <c r="P10" s="34">
        <f>L10*3+M10</f>
        <v>6</v>
      </c>
      <c r="R10" s="123">
        <f>DATE(2026,6,12)+TIME(14,0,0)+gmt_delta</f>
        <v>46186.041666666672</v>
      </c>
      <c r="S10" s="127" t="str">
        <f t="shared" si="0"/>
        <v>United States_win</v>
      </c>
      <c r="T10" s="127" t="str">
        <f t="shared" si="1"/>
        <v>Paraguay_lose</v>
      </c>
      <c r="U10" s="123">
        <f t="shared" si="7"/>
        <v>0</v>
      </c>
      <c r="V10" s="123">
        <f t="shared" si="2"/>
        <v>0</v>
      </c>
      <c r="W10" s="123">
        <f t="shared" si="3"/>
        <v>0</v>
      </c>
      <c r="X10" s="123">
        <f t="shared" si="8"/>
        <v>0</v>
      </c>
      <c r="Y10" s="123">
        <f t="shared" si="9"/>
        <v>0</v>
      </c>
      <c r="Z10" s="123">
        <f t="shared" si="10"/>
        <v>0</v>
      </c>
      <c r="AA10" s="123">
        <f t="shared" si="4"/>
        <v>0</v>
      </c>
      <c r="AB10" s="123">
        <f t="shared" si="5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6</v>
      </c>
      <c r="AL10" s="123">
        <f>AI10-AJ10</f>
        <v>0</v>
      </c>
      <c r="AM10" s="123">
        <f>AL10-AL12</f>
        <v>2</v>
      </c>
      <c r="AN10" s="123">
        <f>AF10*3+AG10</f>
        <v>6</v>
      </c>
      <c r="AO10" s="123">
        <f>AN10/AN12*10+BA10</f>
        <v>7.5</v>
      </c>
      <c r="AP10" s="123">
        <f>AO10*10000000+BI10*100+AM10/AM12*10+AI10/AI12*1++IF(AQ10=0,ROW(),AQ10)/2000000</f>
        <v>75000004.191270515</v>
      </c>
      <c r="AQ10" s="126">
        <f>VLOOKUP(AE10,db_fifarank,2,FALSE)</f>
        <v>1588.66</v>
      </c>
      <c r="AR10" s="125">
        <f>AP10/AP12</f>
        <v>0.85714280661008779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6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46187.041666666672</v>
      </c>
      <c r="S11" s="127" t="str">
        <f t="shared" si="0"/>
        <v>Haiti_lose</v>
      </c>
      <c r="T11" s="127" t="str">
        <f t="shared" si="1"/>
        <v>Scotland_win</v>
      </c>
      <c r="U11" s="123">
        <f t="shared" si="7"/>
        <v>0</v>
      </c>
      <c r="V11" s="123">
        <f t="shared" si="2"/>
        <v>0</v>
      </c>
      <c r="W11" s="123">
        <f t="shared" si="3"/>
        <v>0</v>
      </c>
      <c r="X11" s="123">
        <f t="shared" si="8"/>
        <v>0</v>
      </c>
      <c r="Y11" s="123">
        <f t="shared" si="9"/>
        <v>0</v>
      </c>
      <c r="Z11" s="123">
        <f t="shared" si="10"/>
        <v>0</v>
      </c>
      <c r="AA11" s="123">
        <f t="shared" si="4"/>
        <v>0</v>
      </c>
      <c r="AB11" s="123">
        <f t="shared" si="5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2</v>
      </c>
      <c r="AL11" s="123">
        <f>AI11-AJ11</f>
        <v>3</v>
      </c>
      <c r="AM11" s="123">
        <f>AL11-AL12</f>
        <v>5</v>
      </c>
      <c r="AN11" s="123">
        <f>AF11*3+AG11</f>
        <v>7</v>
      </c>
      <c r="AO11" s="123">
        <f>AN11/AN12*10+BA11</f>
        <v>8.75</v>
      </c>
      <c r="AP11" s="123">
        <f>AO11*10000000+BI11*100+AM11/AM12*10+AI11/AI12*1++IF(AQ11=0,ROW(),AQ11)/2000000</f>
        <v>87500009.048369735</v>
      </c>
      <c r="AQ11" s="126">
        <f>VLOOKUP(AE11,db_fifarank,2,FALSE)</f>
        <v>1501.38</v>
      </c>
      <c r="AR11" s="125">
        <f>AP11/AP12</f>
        <v>0.99999998857142991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Morocco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6"/>
        <v>0.16666666666666666</v>
      </c>
      <c r="E12" s="78" t="str">
        <f>AE28</f>
        <v>Australia</v>
      </c>
      <c r="F12" s="19">
        <v>2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4 - 6</v>
      </c>
      <c r="P12" s="37">
        <f>L12*3+M12</f>
        <v>1</v>
      </c>
      <c r="R12" s="123">
        <f>DATE(2026,6,13)+TIME(17,0,0)+gmt_delta</f>
        <v>46187.166666666672</v>
      </c>
      <c r="S12" s="127" t="str">
        <f t="shared" si="0"/>
        <v>Australia_draw</v>
      </c>
      <c r="T12" s="127" t="str">
        <f t="shared" si="1"/>
        <v>Turkey_draw</v>
      </c>
      <c r="U12" s="123">
        <f t="shared" si="7"/>
        <v>0</v>
      </c>
      <c r="V12" s="123">
        <f t="shared" si="2"/>
        <v>0</v>
      </c>
      <c r="W12" s="123">
        <f t="shared" si="3"/>
        <v>0</v>
      </c>
      <c r="X12" s="123">
        <f t="shared" si="8"/>
        <v>0</v>
      </c>
      <c r="Y12" s="123">
        <f t="shared" si="9"/>
        <v>0</v>
      </c>
      <c r="Z12" s="123">
        <f t="shared" si="10"/>
        <v>0</v>
      </c>
      <c r="AA12" s="123">
        <f t="shared" si="4"/>
        <v>0</v>
      </c>
      <c r="AB12" s="123">
        <f t="shared" si="5"/>
        <v>0</v>
      </c>
      <c r="AF12" s="123">
        <f>MAX(AF8:AF11)-MIN(AF8:AF11)+1</f>
        <v>3</v>
      </c>
      <c r="AG12" s="123">
        <f>MAX(AG8:AG11)-MIN(AG8:AG11)+1</f>
        <v>3</v>
      </c>
      <c r="AH12" s="123">
        <f>MAX(AH8:AH11)-MIN(AH8:AH11)+1</f>
        <v>3</v>
      </c>
      <c r="AI12" s="123">
        <f>MAX(AI8:AI11)+1</f>
        <v>7</v>
      </c>
      <c r="AL12" s="123">
        <f>MIN(AL8:AL11)</f>
        <v>-2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87500010.048369735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>
        <v>4</v>
      </c>
      <c r="BV12" s="25">
        <v>8</v>
      </c>
      <c r="BW12" s="112">
        <f>IF(OR(BT12="",BT13="",AND(BU12="",BU13&lt;&gt;""),AND(BU13="",BU12&lt;&gt;""),AND(BV12="",BV13&lt;&gt;""),AND(BV13="",BV12&lt;&gt;"")),"",BT12*1000+BU12*10+BV12)</f>
        <v>2048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6"/>
        <v>0.91666666666666663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0"/>
        <v>Brazil_win</v>
      </c>
      <c r="T13" s="127" t="str">
        <f t="shared" si="1"/>
        <v>Morocco_lose</v>
      </c>
      <c r="U13" s="123">
        <f t="shared" si="7"/>
        <v>0</v>
      </c>
      <c r="V13" s="123">
        <f t="shared" si="2"/>
        <v>0</v>
      </c>
      <c r="W13" s="123">
        <f t="shared" si="3"/>
        <v>0</v>
      </c>
      <c r="X13" s="123">
        <f t="shared" si="8"/>
        <v>0</v>
      </c>
      <c r="Y13" s="123">
        <f t="shared" si="9"/>
        <v>0</v>
      </c>
      <c r="Z13" s="123">
        <f t="shared" si="10"/>
        <v>0</v>
      </c>
      <c r="AA13" s="123">
        <f t="shared" si="4"/>
        <v>0</v>
      </c>
      <c r="AB13" s="123">
        <f t="shared" si="5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3</v>
      </c>
      <c r="BU13" s="64">
        <v>4</v>
      </c>
      <c r="BV13" s="27">
        <v>9</v>
      </c>
      <c r="BW13" s="113">
        <f>IF(BW12="","",BT13*1000+BU13*10+BV13)</f>
        <v>3049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6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0"/>
        <v>Qatar_lose</v>
      </c>
      <c r="T14" s="127" t="str">
        <f t="shared" si="1"/>
        <v>Switzerland_win</v>
      </c>
      <c r="U14" s="123">
        <f t="shared" si="7"/>
        <v>0</v>
      </c>
      <c r="V14" s="123">
        <f t="shared" si="2"/>
        <v>0</v>
      </c>
      <c r="W14" s="123">
        <f t="shared" si="3"/>
        <v>0</v>
      </c>
      <c r="X14" s="123">
        <f t="shared" si="8"/>
        <v>0</v>
      </c>
      <c r="Y14" s="123">
        <f t="shared" si="9"/>
        <v>0</v>
      </c>
      <c r="Z14" s="123">
        <f t="shared" si="10"/>
        <v>0</v>
      </c>
      <c r="AA14" s="123">
        <f t="shared" si="4"/>
        <v>0</v>
      </c>
      <c r="AB14" s="123">
        <f t="shared" si="5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2</v>
      </c>
      <c r="AH14" s="123">
        <f>COUNTIF($S$7:$T$78,"=" &amp; AE14 &amp; "_lose")</f>
        <v>1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2</v>
      </c>
      <c r="AL14" s="123">
        <f>AI14-AJ14</f>
        <v>-1</v>
      </c>
      <c r="AM14" s="123">
        <f>AL14-AL18</f>
        <v>3</v>
      </c>
      <c r="AN14" s="123">
        <f>AF14*3+AG14</f>
        <v>2</v>
      </c>
      <c r="AO14" s="123">
        <f>AN14/AN18*10+BA14</f>
        <v>2.5</v>
      </c>
      <c r="AP14" s="123">
        <f>AO14*10000000+BI14*100+AM14/AM18*10+AI14/AI18*1++IF(AQ14=0,ROW(),AQ14)/2000000</f>
        <v>25000003.917444907</v>
      </c>
      <c r="AQ14" s="126">
        <f>VLOOKUP(AE14,db_fifarank,2,FALSE)</f>
        <v>1556.48</v>
      </c>
      <c r="AR14" s="125">
        <f>AP14/AP18</f>
        <v>0.28571430000663006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6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5 - 3</v>
      </c>
      <c r="P15" s="32">
        <f>L15*3+M15</f>
        <v>7</v>
      </c>
      <c r="R15" s="123">
        <f>DATE(2026,6,14)+TIME(12,0,0)+gmt_delta</f>
        <v>46187.958333333336</v>
      </c>
      <c r="S15" s="127" t="str">
        <f t="shared" si="0"/>
        <v>Ivory Coast_lose</v>
      </c>
      <c r="T15" s="127" t="str">
        <f t="shared" si="1"/>
        <v>Ecuador_win</v>
      </c>
      <c r="U15" s="123">
        <f t="shared" si="7"/>
        <v>0</v>
      </c>
      <c r="V15" s="123">
        <f t="shared" si="2"/>
        <v>0</v>
      </c>
      <c r="W15" s="123">
        <f t="shared" si="3"/>
        <v>0</v>
      </c>
      <c r="X15" s="123">
        <f t="shared" si="8"/>
        <v>0</v>
      </c>
      <c r="Y15" s="123">
        <f t="shared" si="9"/>
        <v>0</v>
      </c>
      <c r="Z15" s="123">
        <f t="shared" si="10"/>
        <v>0</v>
      </c>
      <c r="AA15" s="123">
        <f t="shared" si="4"/>
        <v>0</v>
      </c>
      <c r="AB15" s="123">
        <f t="shared" si="5"/>
        <v>-1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1</v>
      </c>
      <c r="AH15" s="123">
        <f>COUNTIF($S$7:$T$78,"=" &amp; AE15 &amp; "_lose")</f>
        <v>0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3</v>
      </c>
      <c r="AL15" s="123">
        <f>AI15-AJ15</f>
        <v>2</v>
      </c>
      <c r="AM15" s="123">
        <f>AL15-AL18</f>
        <v>6</v>
      </c>
      <c r="AN15" s="123">
        <f>AF15*3+AG15</f>
        <v>7</v>
      </c>
      <c r="AO15" s="123">
        <f>AN15/AN18*10+BA15</f>
        <v>8.75</v>
      </c>
      <c r="AP15" s="123">
        <f>AO15*10000000+BI15*100+AM15/AM18*10+AI15/AI18*1++IF(AQ15=0,ROW(),AQ15)/2000000</f>
        <v>87500008.334026247</v>
      </c>
      <c r="AQ15" s="126">
        <f>VLOOKUP(AE15,db_fifarank,2,FALSE)</f>
        <v>1385.84</v>
      </c>
      <c r="AR15" s="125">
        <f>AP15/AP18</f>
        <v>0.9999999885714298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6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0"/>
        <v>Germany_win</v>
      </c>
      <c r="T16" s="127" t="str">
        <f t="shared" si="1"/>
        <v>Curaçao_lose</v>
      </c>
      <c r="U16" s="123">
        <f t="shared" si="7"/>
        <v>0</v>
      </c>
      <c r="V16" s="123">
        <f t="shared" si="2"/>
        <v>0</v>
      </c>
      <c r="W16" s="123">
        <f t="shared" si="3"/>
        <v>0</v>
      </c>
      <c r="X16" s="123">
        <f t="shared" si="8"/>
        <v>0</v>
      </c>
      <c r="Y16" s="123">
        <f t="shared" si="9"/>
        <v>0</v>
      </c>
      <c r="Z16" s="123">
        <f t="shared" si="10"/>
        <v>0</v>
      </c>
      <c r="AA16" s="123">
        <f t="shared" si="4"/>
        <v>0</v>
      </c>
      <c r="AB16" s="123">
        <f t="shared" si="5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1.25</v>
      </c>
      <c r="AP16" s="123">
        <f>AO16*10000000+BI16*100+AM16/AM18*10+AI16/AI18*1++IF(AQ16=0,ROW(),AQ16)/2000000</f>
        <v>12500000.167394146</v>
      </c>
      <c r="AQ16" s="126">
        <f>VLOOKUP(AE16,db_fifarank,2,FALSE)</f>
        <v>1454.96</v>
      </c>
      <c r="AR16" s="125">
        <f>AP16/AP18</f>
        <v>0.14285712953099372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6"/>
        <v>0.83333333333333337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1 - 2</v>
      </c>
      <c r="P17" s="34">
        <f>L17*3+M17</f>
        <v>2</v>
      </c>
      <c r="R17" s="123">
        <f>DATE(2026,6,14)+TIME(9,0,0)+gmt_delta</f>
        <v>46187.833333333336</v>
      </c>
      <c r="S17" s="127" t="str">
        <f t="shared" si="0"/>
        <v>Netherlands_draw</v>
      </c>
      <c r="T17" s="127" t="str">
        <f t="shared" si="1"/>
        <v>Japan_draw</v>
      </c>
      <c r="U17" s="123">
        <f t="shared" si="7"/>
        <v>0</v>
      </c>
      <c r="V17" s="123">
        <f t="shared" si="2"/>
        <v>0</v>
      </c>
      <c r="W17" s="123">
        <f t="shared" si="3"/>
        <v>0</v>
      </c>
      <c r="X17" s="123">
        <f t="shared" si="8"/>
        <v>0</v>
      </c>
      <c r="Y17" s="123">
        <f t="shared" si="9"/>
        <v>0</v>
      </c>
      <c r="Z17" s="123">
        <f t="shared" si="10"/>
        <v>0</v>
      </c>
      <c r="AA17" s="123">
        <f t="shared" si="4"/>
        <v>0</v>
      </c>
      <c r="AB17" s="123">
        <f t="shared" si="5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0</v>
      </c>
      <c r="AH17" s="123">
        <f>COUNTIF($S$7:$T$78,"=" &amp; AE17 &amp; "_lose")</f>
        <v>1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7</v>
      </c>
      <c r="AN17" s="123">
        <f>AF17*3+AG17</f>
        <v>6</v>
      </c>
      <c r="AO17" s="123">
        <f>AN17/AN18*10+BA17</f>
        <v>7.5</v>
      </c>
      <c r="AP17" s="123">
        <f>AO17*10000000+BI17*100+AM17/AM18*10+AI17/AI18*1++IF(AQ17=0,ROW(),AQ17)/2000000</f>
        <v>75000009.584158033</v>
      </c>
      <c r="AQ17" s="126">
        <f>VLOOKUP(AE17,db_fifarank,2,FALSE)</f>
        <v>1649.4</v>
      </c>
      <c r="AR17" s="125">
        <f>AP17/AP18</f>
        <v>0.85714287524073074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6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1</v>
      </c>
      <c r="R18" s="123">
        <f>DATE(2026,6,14)+TIME(15,0,0)+gmt_delta</f>
        <v>46188.083333333336</v>
      </c>
      <c r="S18" s="127" t="str">
        <f t="shared" si="0"/>
        <v>Sweden_draw</v>
      </c>
      <c r="T18" s="127" t="str">
        <f t="shared" si="1"/>
        <v>Tunisia_draw</v>
      </c>
      <c r="U18" s="123">
        <f t="shared" si="7"/>
        <v>0</v>
      </c>
      <c r="V18" s="123">
        <f t="shared" si="2"/>
        <v>0</v>
      </c>
      <c r="W18" s="123">
        <f t="shared" si="3"/>
        <v>0</v>
      </c>
      <c r="X18" s="123">
        <f t="shared" si="8"/>
        <v>0</v>
      </c>
      <c r="Y18" s="123">
        <f t="shared" si="9"/>
        <v>0</v>
      </c>
      <c r="Z18" s="123">
        <f t="shared" si="10"/>
        <v>0</v>
      </c>
      <c r="AA18" s="123">
        <f t="shared" si="4"/>
        <v>0</v>
      </c>
      <c r="AB18" s="123">
        <f t="shared" si="5"/>
        <v>0</v>
      </c>
      <c r="AF18" s="123">
        <f>MAX(AF14:AF17)-MIN(AF14:AF17)+1</f>
        <v>3</v>
      </c>
      <c r="AG18" s="123">
        <f>MAX(AG14:AG17)-MIN(AG14:AG17)+1</f>
        <v>3</v>
      </c>
      <c r="AH18" s="123">
        <f>MAX(AH14:AH17)-MIN(AH14:AH17)+1</f>
        <v>3</v>
      </c>
      <c r="AI18" s="123">
        <f>MAX(AI14:AI17)+1</f>
        <v>6</v>
      </c>
      <c r="AL18" s="123">
        <f>MIN(AL14:AL17)</f>
        <v>-4</v>
      </c>
      <c r="AM18" s="123">
        <f>MAX(AM14:AM17)+1</f>
        <v>8</v>
      </c>
      <c r="AN18" s="123">
        <f>MAX(AN14:AN17)+1</f>
        <v>8</v>
      </c>
      <c r="AO18" s="123">
        <f>MAX(AO14:AO17)+1</f>
        <v>9.75</v>
      </c>
      <c r="AP18" s="123">
        <f>MAX(AP14:AP17)+1</f>
        <v>87500009.334026247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6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0"/>
        <v>Saudi Arabia_lose</v>
      </c>
      <c r="T19" s="127" t="str">
        <f t="shared" si="1"/>
        <v>Uruguay_win</v>
      </c>
      <c r="U19" s="123">
        <f t="shared" si="7"/>
        <v>0</v>
      </c>
      <c r="V19" s="123">
        <f t="shared" si="2"/>
        <v>0</v>
      </c>
      <c r="W19" s="123">
        <f t="shared" si="3"/>
        <v>0</v>
      </c>
      <c r="X19" s="123">
        <f t="shared" si="8"/>
        <v>0</v>
      </c>
      <c r="Y19" s="123">
        <f t="shared" si="9"/>
        <v>0</v>
      </c>
      <c r="Z19" s="123">
        <f t="shared" si="10"/>
        <v>0</v>
      </c>
      <c r="AA19" s="123">
        <f t="shared" si="4"/>
        <v>0</v>
      </c>
      <c r="AB19" s="123">
        <f t="shared" si="5"/>
        <v>-1</v>
      </c>
      <c r="BK19" s="13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6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0"/>
        <v>Spain_win</v>
      </c>
      <c r="T20" s="127" t="str">
        <f t="shared" si="1"/>
        <v>Cape Verde_lose</v>
      </c>
      <c r="U20" s="123">
        <f t="shared" si="7"/>
        <v>0</v>
      </c>
      <c r="V20" s="123">
        <f t="shared" si="2"/>
        <v>0</v>
      </c>
      <c r="W20" s="123">
        <f t="shared" si="3"/>
        <v>0</v>
      </c>
      <c r="X20" s="123">
        <f t="shared" si="8"/>
        <v>0</v>
      </c>
      <c r="Y20" s="123">
        <f t="shared" si="9"/>
        <v>0</v>
      </c>
      <c r="Z20" s="123">
        <f t="shared" si="10"/>
        <v>0</v>
      </c>
      <c r="AA20" s="123">
        <f t="shared" si="4"/>
        <v>0</v>
      </c>
      <c r="AB20" s="123">
        <f t="shared" si="5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3</v>
      </c>
      <c r="AL20" s="123">
        <f>AI20-AJ20</f>
        <v>7</v>
      </c>
      <c r="AM20" s="123">
        <f>AL20-AL24</f>
        <v>18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87500010.383655697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6"/>
        <v>4.1666666666666664E-2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10 - 3</v>
      </c>
      <c r="P21" s="32">
        <f>L21*3+M21</f>
        <v>7</v>
      </c>
      <c r="R21" s="123">
        <f>DATE(2026,6,15)+TIME(14,0,0)+gmt_delta</f>
        <v>46189.041666666672</v>
      </c>
      <c r="S21" s="127" t="str">
        <f t="shared" si="0"/>
        <v>Iran_win</v>
      </c>
      <c r="T21" s="127" t="str">
        <f t="shared" si="1"/>
        <v>New Zealand_lose</v>
      </c>
      <c r="U21" s="123">
        <f t="shared" si="7"/>
        <v>0</v>
      </c>
      <c r="V21" s="123">
        <f t="shared" si="2"/>
        <v>0</v>
      </c>
      <c r="W21" s="123">
        <f t="shared" si="3"/>
        <v>0</v>
      </c>
      <c r="X21" s="123">
        <f t="shared" si="8"/>
        <v>0</v>
      </c>
      <c r="Y21" s="123">
        <f t="shared" si="9"/>
        <v>0</v>
      </c>
      <c r="Z21" s="123">
        <f t="shared" si="10"/>
        <v>0</v>
      </c>
      <c r="AA21" s="123">
        <f t="shared" si="4"/>
        <v>0</v>
      </c>
      <c r="AB21" s="123">
        <f t="shared" si="5"/>
        <v>1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4</v>
      </c>
      <c r="AL21" s="123">
        <f>AI21-AJ21</f>
        <v>1</v>
      </c>
      <c r="AM21" s="123">
        <f>AL21-AL24</f>
        <v>12</v>
      </c>
      <c r="AN21" s="123">
        <f>AF21*3+AG21</f>
        <v>4</v>
      </c>
      <c r="AO21" s="123">
        <f>AN21/AN24*10+BA21</f>
        <v>5</v>
      </c>
      <c r="AP21" s="123">
        <f>AO21*10000000+BI21*100+AM21/AM24*10+AI21/AI24*1++IF(AQ21=0,ROW(),AQ21)/2000000</f>
        <v>50000006.771212861</v>
      </c>
      <c r="AQ21" s="126">
        <f>VLOOKUP(AE21,db_fifarank,2,FALSE)</f>
        <v>1755.87</v>
      </c>
      <c r="AR21" s="125">
        <f>AP21/AP24</f>
        <v>0.57142857447161954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6"/>
        <v>0.79166666666666663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6 - 3</v>
      </c>
      <c r="P22" s="34">
        <f>L22*3+M22</f>
        <v>5</v>
      </c>
      <c r="R22" s="123">
        <f>DATE(2026,6,15)+TIME(8,0,0)+gmt_delta</f>
        <v>46188.791666666672</v>
      </c>
      <c r="S22" s="127" t="str">
        <f t="shared" si="0"/>
        <v>Belgium_draw</v>
      </c>
      <c r="T22" s="127" t="str">
        <f t="shared" si="1"/>
        <v>Egypt_draw</v>
      </c>
      <c r="U22" s="123">
        <f t="shared" si="7"/>
        <v>0</v>
      </c>
      <c r="V22" s="123">
        <f t="shared" si="2"/>
        <v>0</v>
      </c>
      <c r="W22" s="123">
        <f t="shared" si="3"/>
        <v>0</v>
      </c>
      <c r="X22" s="123">
        <f t="shared" si="8"/>
        <v>0</v>
      </c>
      <c r="Y22" s="123">
        <f t="shared" si="9"/>
        <v>0</v>
      </c>
      <c r="Z22" s="123">
        <f t="shared" si="10"/>
        <v>0</v>
      </c>
      <c r="AA22" s="123">
        <f t="shared" si="4"/>
        <v>0</v>
      </c>
      <c r="AB22" s="123">
        <f t="shared" si="5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11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7.3811990397139594E-12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6"/>
        <v>0.79166666666666663</v>
      </c>
      <c r="E23" s="78" t="str">
        <f>AE56</f>
        <v>France</v>
      </c>
      <c r="F23" s="19">
        <v>4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5 - 4</v>
      </c>
      <c r="P23" s="34">
        <f>L23*3+M23</f>
        <v>4</v>
      </c>
      <c r="R23" s="123">
        <f>DATE(2026,6,16)+TIME(8,0,0)+gmt_delta</f>
        <v>46189.791666666672</v>
      </c>
      <c r="S23" s="127" t="str">
        <f t="shared" si="0"/>
        <v>France_win</v>
      </c>
      <c r="T23" s="127" t="str">
        <f t="shared" si="1"/>
        <v>Senegal_lose</v>
      </c>
      <c r="U23" s="123">
        <f t="shared" si="7"/>
        <v>0</v>
      </c>
      <c r="V23" s="123">
        <f t="shared" si="2"/>
        <v>0</v>
      </c>
      <c r="W23" s="123">
        <f t="shared" si="3"/>
        <v>0</v>
      </c>
      <c r="X23" s="123">
        <f t="shared" si="8"/>
        <v>0</v>
      </c>
      <c r="Y23" s="123">
        <f t="shared" si="9"/>
        <v>0</v>
      </c>
      <c r="Z23" s="123">
        <f t="shared" si="10"/>
        <v>0</v>
      </c>
      <c r="AA23" s="123">
        <f t="shared" si="4"/>
        <v>0</v>
      </c>
      <c r="AB23" s="123">
        <f t="shared" si="5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2</v>
      </c>
      <c r="AH23" s="123">
        <f>COUNTIF($S$7:$T$78,"=" &amp; AE23 &amp; "_lose")</f>
        <v>0</v>
      </c>
      <c r="AI23" s="123">
        <f>SUMIF($E$7:$E$78,$AE23,$F$7:$F$78) + SUMIF($H$7:$H$78,$AE23,$G$7:$G$78)</f>
        <v>6</v>
      </c>
      <c r="AJ23" s="123">
        <f>SUMIF($E$7:$E$78,$AE23,$G$7:$G$78) + SUMIF($H$7:$H$78,$AE23,$F$7:$F$78)</f>
        <v>3</v>
      </c>
      <c r="AL23" s="123">
        <f>AI23-AJ23</f>
        <v>3</v>
      </c>
      <c r="AM23" s="123">
        <f>AL23-AL24</f>
        <v>14</v>
      </c>
      <c r="AN23" s="123">
        <f>AF23*3+AG23</f>
        <v>5</v>
      </c>
      <c r="AO23" s="123">
        <f>AN23/AN24*10+BA23</f>
        <v>6.25</v>
      </c>
      <c r="AP23" s="123">
        <f>AO23*10000000+BI23*100+AM23/AM24*10+AI23/AI24*1++IF(AQ23=0,ROW(),AQ23)/2000000</f>
        <v>62500007.91462478</v>
      </c>
      <c r="AQ23" s="126">
        <f>VLOOKUP(AE23,db_fifarank,2,FALSE)</f>
        <v>1498.35</v>
      </c>
      <c r="AR23" s="125">
        <f>AP23/AP24</f>
        <v>0.71428571181076761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Scotland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>
        <v>2</v>
      </c>
      <c r="CJ23" s="25"/>
      <c r="CK23" s="112">
        <f>IF(OR(CH23="",CH24="",AND(CI23="",CI24&lt;&gt;""),AND(CI24="",CI23&lt;&gt;""),AND(CJ23="",CJ24&lt;&gt;""),AND(CJ24="",CJ23&lt;&gt;"")),"",CH23*1000+CI23*10+CJ23)</f>
        <v>2020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6"/>
        <v>0.91666666666666663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0 - 11</v>
      </c>
      <c r="P24" s="37">
        <f>L24*3+M24</f>
        <v>0</v>
      </c>
      <c r="R24" s="123">
        <f>DATE(2026,6,16)+TIME(11,0,0)+gmt_delta</f>
        <v>46189.916666666672</v>
      </c>
      <c r="S24" s="127" t="str">
        <f t="shared" si="0"/>
        <v>Iraq_lose</v>
      </c>
      <c r="T24" s="127" t="str">
        <f t="shared" si="1"/>
        <v>Norway_win</v>
      </c>
      <c r="U24" s="123">
        <f t="shared" si="7"/>
        <v>0</v>
      </c>
      <c r="V24" s="123">
        <f t="shared" si="2"/>
        <v>0</v>
      </c>
      <c r="W24" s="123">
        <f t="shared" si="3"/>
        <v>0</v>
      </c>
      <c r="X24" s="123">
        <f t="shared" si="8"/>
        <v>0</v>
      </c>
      <c r="Y24" s="123">
        <f t="shared" si="9"/>
        <v>0</v>
      </c>
      <c r="Z24" s="123">
        <f t="shared" si="10"/>
        <v>0</v>
      </c>
      <c r="AA24" s="123">
        <f t="shared" si="4"/>
        <v>0</v>
      </c>
      <c r="AB24" s="123">
        <f t="shared" si="5"/>
        <v>-1</v>
      </c>
      <c r="AF24" s="123">
        <f>MAX(AF20:AF23)-MIN(AF20:AF23)+1</f>
        <v>3</v>
      </c>
      <c r="AG24" s="123">
        <f>MAX(AG20:AG23)-MIN(AG20:AG23)+1</f>
        <v>3</v>
      </c>
      <c r="AH24" s="123">
        <f>MAX(AH20:AH23)-MIN(AH20:AH23)+1</f>
        <v>4</v>
      </c>
      <c r="AI24" s="123">
        <f>MAX(AI20:AI23)+1</f>
        <v>11</v>
      </c>
      <c r="AL24" s="123">
        <f>MIN(AL20:AL23)</f>
        <v>-11</v>
      </c>
      <c r="AM24" s="123">
        <f>MAX(AM20:AM23)+1</f>
        <v>19</v>
      </c>
      <c r="AN24" s="123">
        <f>MAX(AN20:AN23)+1</f>
        <v>8</v>
      </c>
      <c r="AO24" s="123">
        <f>MAX(AO20:AO23)+1</f>
        <v>9.75</v>
      </c>
      <c r="AP24" s="123">
        <f>MAX(AP20:AP23)+1</f>
        <v>87500011.383655697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>
        <v>3</v>
      </c>
      <c r="CJ24" s="27"/>
      <c r="CK24" s="113">
        <f>IF(CK23="","",CH24*1000+CI24*10+CJ24)</f>
        <v>2030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6"/>
        <v>4.1666666666666664E-2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0"/>
        <v>Argentina_win</v>
      </c>
      <c r="T25" s="127" t="str">
        <f t="shared" si="1"/>
        <v>Algeria_lose</v>
      </c>
      <c r="U25" s="123">
        <f t="shared" si="7"/>
        <v>0</v>
      </c>
      <c r="V25" s="123">
        <f t="shared" si="2"/>
        <v>0</v>
      </c>
      <c r="W25" s="123">
        <f t="shared" si="3"/>
        <v>0</v>
      </c>
      <c r="X25" s="123">
        <f t="shared" si="8"/>
        <v>0</v>
      </c>
      <c r="Y25" s="123">
        <f t="shared" si="9"/>
        <v>0</v>
      </c>
      <c r="Z25" s="123">
        <f t="shared" si="10"/>
        <v>0</v>
      </c>
      <c r="AA25" s="123">
        <f t="shared" si="4"/>
        <v>1</v>
      </c>
      <c r="AB25" s="123">
        <f t="shared" si="5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6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0"/>
        <v>Austria_win</v>
      </c>
      <c r="T26" s="127" t="str">
        <f t="shared" si="1"/>
        <v>Jordan_lose</v>
      </c>
      <c r="U26" s="123">
        <f t="shared" si="7"/>
        <v>0</v>
      </c>
      <c r="V26" s="123">
        <f t="shared" si="2"/>
        <v>0</v>
      </c>
      <c r="W26" s="123">
        <f t="shared" si="3"/>
        <v>0</v>
      </c>
      <c r="X26" s="123">
        <f t="shared" si="8"/>
        <v>0</v>
      </c>
      <c r="Y26" s="123">
        <f t="shared" si="9"/>
        <v>0</v>
      </c>
      <c r="Z26" s="123">
        <f t="shared" si="10"/>
        <v>0</v>
      </c>
      <c r="AA26" s="123">
        <f t="shared" si="4"/>
        <v>0</v>
      </c>
      <c r="AB26" s="123">
        <f t="shared" si="5"/>
        <v>1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2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4</v>
      </c>
      <c r="AL26" s="123">
        <f>AI26-AJ26</f>
        <v>-1</v>
      </c>
      <c r="AM26" s="123">
        <f>AL26-AL30</f>
        <v>0</v>
      </c>
      <c r="AN26" s="123">
        <f>AF26*3+AG26</f>
        <v>3</v>
      </c>
      <c r="AO26" s="123">
        <f>AN26/AN30*10+BA26</f>
        <v>5.0065595277140043</v>
      </c>
      <c r="AP26" s="123">
        <f>AO26*10000000+BI26*100+AM26/AM30*10+AI26/AI30*1++IF(AQ26=0,ROW(),AQ26)/2000000</f>
        <v>50065595.706548035</v>
      </c>
      <c r="AQ26" s="126">
        <f>VLOOKUP(AE26,db_fifarank,2,FALSE)</f>
        <v>1673.13</v>
      </c>
      <c r="AR26" s="125">
        <f>AP26/AP30</f>
        <v>0.60031455347513696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1</v>
      </c>
      <c r="AZ26" s="126">
        <f>AT26/AT30*1000+AU26/AU30*100+AY26/AY30*10+AV26/AV30</f>
        <v>3.333333333333333</v>
      </c>
      <c r="BA26" s="126">
        <f>AZ26/AZ30</f>
        <v>6.5595277140045906E-3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2</v>
      </c>
      <c r="BN26" s="63">
        <v>2</v>
      </c>
      <c r="BO26" s="25">
        <v>5</v>
      </c>
      <c r="BP26" s="112">
        <f>IF(OR(BM26="",BM27="",AND(BN26="",BN27&lt;&gt;""),AND(BN27="",BN26&lt;&gt;""),AND(BO26="",BO27&lt;&gt;""),AND(BO27="",BO26&lt;&gt;"")),"",BM26*1000+BN26*10+BO26)</f>
        <v>2025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6"/>
        <v>0.95833333333333337</v>
      </c>
      <c r="E27" s="78" t="str">
        <f>AE76</f>
        <v>Ghana</v>
      </c>
      <c r="F27" s="19">
        <v>3</v>
      </c>
      <c r="G27" s="20">
        <v>3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6 - 5</v>
      </c>
      <c r="P27" s="32">
        <f>L27*3+M27</f>
        <v>5</v>
      </c>
      <c r="R27" s="123">
        <f>DATE(2026,6,17)+TIME(12,0,0)+gmt_delta</f>
        <v>46190.958333333336</v>
      </c>
      <c r="S27" s="127" t="str">
        <f t="shared" si="0"/>
        <v>Ghana_draw</v>
      </c>
      <c r="T27" s="127" t="str">
        <f t="shared" si="1"/>
        <v>Panama_draw</v>
      </c>
      <c r="U27" s="123">
        <f t="shared" si="7"/>
        <v>1</v>
      </c>
      <c r="V27" s="123">
        <f t="shared" si="2"/>
        <v>3</v>
      </c>
      <c r="W27" s="123">
        <f t="shared" si="3"/>
        <v>3</v>
      </c>
      <c r="X27" s="123">
        <f t="shared" si="8"/>
        <v>1</v>
      </c>
      <c r="Y27" s="123">
        <f t="shared" si="9"/>
        <v>3</v>
      </c>
      <c r="Z27" s="123">
        <f t="shared" si="10"/>
        <v>3</v>
      </c>
      <c r="AA27" s="123">
        <f t="shared" si="4"/>
        <v>0</v>
      </c>
      <c r="AB27" s="123">
        <f t="shared" si="5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1</v>
      </c>
      <c r="AN27" s="123">
        <f>AF27*3+AG27</f>
        <v>4</v>
      </c>
      <c r="AO27" s="123">
        <f>AN27/AN30*10+BA27</f>
        <v>7.6646988083524645</v>
      </c>
      <c r="AP27" s="123">
        <f>AO27*10000000+BI27*100+AM27/AM30*10+AI27/AI30*1++IF(AQ27=0,ROW(),AQ27)/2000000</f>
        <v>76646991.846181154</v>
      </c>
      <c r="AQ27" s="126">
        <f>VLOOKUP(AE27,db_fifarank,2,FALSE)</f>
        <v>1503.5</v>
      </c>
      <c r="AR27" s="125">
        <f>AP27/AP30</f>
        <v>0.91904039163035056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1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1</v>
      </c>
      <c r="AY27" s="126">
        <f>AX27-MIN(AX26:AX29)</f>
        <v>2</v>
      </c>
      <c r="AZ27" s="126">
        <f>AT27/AT30*1000+AU27/AU30*100+AY27/AY30*10+AV27/AV30</f>
        <v>507.16666666666669</v>
      </c>
      <c r="BA27" s="126">
        <f>AZ27/AZ30</f>
        <v>0.99803214168579857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2</v>
      </c>
      <c r="BN27" s="64">
        <v>2</v>
      </c>
      <c r="BO27" s="27">
        <v>7</v>
      </c>
      <c r="BP27" s="113">
        <f>IF(BP26="","",BM27*1000+BN27*10+BO27)</f>
        <v>2027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6"/>
        <v>0.83333333333333337</v>
      </c>
      <c r="E28" s="78" t="str">
        <f>AE74</f>
        <v>England</v>
      </c>
      <c r="F28" s="19">
        <v>3</v>
      </c>
      <c r="G28" s="20">
        <v>2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3 - 3</v>
      </c>
      <c r="P28" s="34">
        <f>L28*3+M28</f>
        <v>4</v>
      </c>
      <c r="R28" s="123">
        <f>DATE(2026,6,17)+TIME(9,0,0)+gmt_delta</f>
        <v>46190.833333333336</v>
      </c>
      <c r="S28" s="127" t="str">
        <f t="shared" si="0"/>
        <v>England_win</v>
      </c>
      <c r="T28" s="127" t="str">
        <f t="shared" si="1"/>
        <v>Croatia_lose</v>
      </c>
      <c r="U28" s="123">
        <f t="shared" si="7"/>
        <v>0</v>
      </c>
      <c r="V28" s="123">
        <f t="shared" si="2"/>
        <v>0</v>
      </c>
      <c r="W28" s="123">
        <f t="shared" si="3"/>
        <v>0</v>
      </c>
      <c r="X28" s="123">
        <f t="shared" si="8"/>
        <v>0</v>
      </c>
      <c r="Y28" s="123">
        <f t="shared" si="9"/>
        <v>0</v>
      </c>
      <c r="Z28" s="123">
        <f t="shared" si="10"/>
        <v>0</v>
      </c>
      <c r="AA28" s="123">
        <f t="shared" si="4"/>
        <v>0</v>
      </c>
      <c r="AB28" s="123">
        <f t="shared" si="5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4</v>
      </c>
      <c r="AL28" s="123">
        <f>AI28-AJ28</f>
        <v>0</v>
      </c>
      <c r="AM28" s="123">
        <f>AL28-AL30</f>
        <v>1</v>
      </c>
      <c r="AN28" s="123">
        <f>AF28*3+AG28</f>
        <v>4</v>
      </c>
      <c r="AO28" s="123">
        <f>AN28/AN30*10+BA28</f>
        <v>6.6666666666666661</v>
      </c>
      <c r="AP28" s="123">
        <f>AO28*10000000+BI28*100+AM28/AM30*10+AI28/AI30*1++IF(AQ28=0,ROW(),AQ28)/2000000</f>
        <v>66666670.57221891</v>
      </c>
      <c r="AQ28" s="126">
        <f>VLOOKUP(AE28,db_fifarank,2,FALSE)</f>
        <v>1580.67</v>
      </c>
      <c r="AR28" s="125">
        <f>AP28/AP30</f>
        <v>0.79937074574749023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-1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6"/>
        <v>0.70833333333333337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4 - 4</v>
      </c>
      <c r="P29" s="34">
        <f>L29*3+M29</f>
        <v>4</v>
      </c>
      <c r="R29" s="123">
        <f>DATE(2026,6,17)+TIME(6,0,0)+gmt_delta</f>
        <v>46190.708333333336</v>
      </c>
      <c r="S29" s="127" t="str">
        <f t="shared" si="0"/>
        <v>Portugal_win</v>
      </c>
      <c r="T29" s="127" t="str">
        <f t="shared" si="1"/>
        <v>DR Congo_lose</v>
      </c>
      <c r="U29" s="123">
        <f t="shared" si="7"/>
        <v>0</v>
      </c>
      <c r="V29" s="123">
        <f t="shared" si="2"/>
        <v>0</v>
      </c>
      <c r="W29" s="123">
        <f t="shared" si="3"/>
        <v>0</v>
      </c>
      <c r="X29" s="123">
        <f t="shared" si="8"/>
        <v>0</v>
      </c>
      <c r="Y29" s="123">
        <f t="shared" si="9"/>
        <v>0</v>
      </c>
      <c r="Z29" s="123">
        <f t="shared" si="10"/>
        <v>0</v>
      </c>
      <c r="AA29" s="123">
        <f t="shared" si="4"/>
        <v>0</v>
      </c>
      <c r="AB29" s="123">
        <f t="shared" si="5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5</v>
      </c>
      <c r="AL29" s="123">
        <f>AI29-AJ29</f>
        <v>1</v>
      </c>
      <c r="AM29" s="123">
        <f>AL29-AL30</f>
        <v>2</v>
      </c>
      <c r="AN29" s="123">
        <f>AF29*3+AG29</f>
        <v>5</v>
      </c>
      <c r="AO29" s="123">
        <f>AN29/AN30*10+BA29</f>
        <v>8.3398928610473391</v>
      </c>
      <c r="AP29" s="123">
        <f>AO29*10000000+BI29*100+AM29/AM30*10+AI29/AI30*1++IF(AQ29=0,ROW(),AQ29)/2000000</f>
        <v>83398936.135082439</v>
      </c>
      <c r="AQ29" s="126">
        <f>VLOOKUP(AE29,db_fifarank,2,FALSE)</f>
        <v>1599.04</v>
      </c>
      <c r="AR29" s="125">
        <f>AP29/AP30</f>
        <v>0.99999998800943957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1</v>
      </c>
      <c r="AZ29" s="126">
        <f>AT29/AT30*1000+AU29/AU30*100+AY29/AY30*10+AV29/AV30</f>
        <v>3.333333333333333</v>
      </c>
      <c r="BA29" s="126">
        <f>AZ29/AZ30</f>
        <v>6.5595277140045906E-3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6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1</v>
      </c>
      <c r="M30" s="36">
        <f>VLOOKUP(4,AD26:AN29,4,FALSE)</f>
        <v>0</v>
      </c>
      <c r="N30" s="36">
        <f>VLOOKUP(4,AD26:AN29,5,FALSE)</f>
        <v>2</v>
      </c>
      <c r="O30" s="36" t="str">
        <f>VLOOKUP(4,AD26:AN29,6,FALSE) &amp; " - " &amp; VLOOKUP(4,AD26:AN29,7,FALSE)</f>
        <v>3 - 4</v>
      </c>
      <c r="P30" s="37">
        <f>L30*3+M30</f>
        <v>3</v>
      </c>
      <c r="R30" s="123">
        <f>DATE(2026,6,17)+TIME(15,0,0)+gmt_delta</f>
        <v>46191.083333333336</v>
      </c>
      <c r="S30" s="127" t="str">
        <f t="shared" si="0"/>
        <v>Uzbekistan_lose</v>
      </c>
      <c r="T30" s="127" t="str">
        <f t="shared" si="1"/>
        <v>Colombia_win</v>
      </c>
      <c r="U30" s="123">
        <f t="shared" si="7"/>
        <v>0</v>
      </c>
      <c r="V30" s="123">
        <f t="shared" si="2"/>
        <v>0</v>
      </c>
      <c r="W30" s="123">
        <f t="shared" si="3"/>
        <v>0</v>
      </c>
      <c r="X30" s="123">
        <f t="shared" si="8"/>
        <v>0</v>
      </c>
      <c r="Y30" s="123">
        <f t="shared" si="9"/>
        <v>0</v>
      </c>
      <c r="Z30" s="123">
        <f t="shared" si="10"/>
        <v>0</v>
      </c>
      <c r="AA30" s="123">
        <f t="shared" si="4"/>
        <v>0</v>
      </c>
      <c r="AB30" s="123">
        <f t="shared" si="5"/>
        <v>-1</v>
      </c>
      <c r="AF30" s="123">
        <f>MAX(AF26:AF29)-MIN(AF26:AF29)+1</f>
        <v>1</v>
      </c>
      <c r="AG30" s="123">
        <f>MAX(AG26:AG29)-MIN(AG26:AG29)+1</f>
        <v>3</v>
      </c>
      <c r="AH30" s="123">
        <f>MAX(AH26:AH29)-MIN(AH26:AH29)+1</f>
        <v>3</v>
      </c>
      <c r="AI30" s="123">
        <f>MAX(AI26:AI29)+1</f>
        <v>7</v>
      </c>
      <c r="AL30" s="123">
        <f>MIN(AL26:AL29)</f>
        <v>-1</v>
      </c>
      <c r="AM30" s="123">
        <f>MAX(AM26:AM29)+1</f>
        <v>3</v>
      </c>
      <c r="AN30" s="123">
        <f>MAX(AN26:AN29)+1</f>
        <v>6</v>
      </c>
      <c r="AO30" s="123">
        <f>MAX(AO26:AO29)+1</f>
        <v>9.3398928610473391</v>
      </c>
      <c r="AP30" s="123">
        <f>MAX(AP26:AP29)+1</f>
        <v>83398937.135082439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3</v>
      </c>
      <c r="AZ30" s="126">
        <f>MAX(AZ26:AZ29)+1</f>
        <v>508.16666666666669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6"/>
        <v>0.66666666666666663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0"/>
        <v>Czech Republic_win</v>
      </c>
      <c r="T31" s="127" t="str">
        <f t="shared" si="1"/>
        <v>South Africa_lose</v>
      </c>
      <c r="U31" s="123">
        <f t="shared" si="7"/>
        <v>0</v>
      </c>
      <c r="V31" s="123">
        <f t="shared" si="2"/>
        <v>0</v>
      </c>
      <c r="W31" s="123">
        <f t="shared" si="3"/>
        <v>0</v>
      </c>
      <c r="X31" s="123">
        <f t="shared" si="8"/>
        <v>0</v>
      </c>
      <c r="Y31" s="123">
        <f t="shared" si="9"/>
        <v>0</v>
      </c>
      <c r="Z31" s="123">
        <f t="shared" si="10"/>
        <v>0</v>
      </c>
      <c r="AA31" s="123">
        <f t="shared" si="4"/>
        <v>0</v>
      </c>
      <c r="AB31" s="123">
        <f t="shared" si="5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6"/>
        <v>0.79166666666666663</v>
      </c>
      <c r="E32" s="78" t="str">
        <f>AE17</f>
        <v>Switzerland</v>
      </c>
      <c r="F32" s="19">
        <v>1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0"/>
        <v>Switzerland_lose</v>
      </c>
      <c r="T32" s="127" t="str">
        <f t="shared" si="1"/>
        <v>Bosnia and Herzegovina_win</v>
      </c>
      <c r="U32" s="123">
        <f t="shared" si="7"/>
        <v>0</v>
      </c>
      <c r="V32" s="123">
        <f t="shared" si="2"/>
        <v>0</v>
      </c>
      <c r="W32" s="123">
        <f t="shared" si="3"/>
        <v>0</v>
      </c>
      <c r="X32" s="123">
        <f t="shared" si="8"/>
        <v>0</v>
      </c>
      <c r="Y32" s="123">
        <f t="shared" si="9"/>
        <v>0</v>
      </c>
      <c r="Z32" s="123">
        <f t="shared" si="10"/>
        <v>0</v>
      </c>
      <c r="AA32" s="123">
        <f t="shared" si="4"/>
        <v>0</v>
      </c>
      <c r="AB32" s="123">
        <f t="shared" si="5"/>
        <v>-1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90000010.234198526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4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4000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6"/>
        <v>0.91666666666666663</v>
      </c>
      <c r="E33" s="78" t="str">
        <f>AE14</f>
        <v>Canada</v>
      </c>
      <c r="F33" s="19">
        <v>0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0"/>
        <v>Canada_draw</v>
      </c>
      <c r="T33" s="127" t="str">
        <f t="shared" si="1"/>
        <v>Qatar_draw</v>
      </c>
      <c r="U33" s="123">
        <f t="shared" si="7"/>
        <v>0</v>
      </c>
      <c r="V33" s="123">
        <f t="shared" si="2"/>
        <v>0</v>
      </c>
      <c r="W33" s="123">
        <f t="shared" si="3"/>
        <v>0</v>
      </c>
      <c r="X33" s="123">
        <f t="shared" si="8"/>
        <v>0</v>
      </c>
      <c r="Y33" s="123">
        <f t="shared" si="9"/>
        <v>0</v>
      </c>
      <c r="Z33" s="123">
        <f t="shared" si="10"/>
        <v>0</v>
      </c>
      <c r="AA33" s="123">
        <f t="shared" si="4"/>
        <v>0</v>
      </c>
      <c r="AB33" s="123">
        <f t="shared" si="5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19805923.401618201</v>
      </c>
      <c r="AQ33" s="126">
        <f>VLOOKUP(AE33,db_fifarank,2,FALSE)</f>
        <v>1294.6500000000001</v>
      </c>
      <c r="AR33" s="125">
        <f>AP33/AP36</f>
        <v>0.22006578810394944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6"/>
        <v>4.1666666666666664E-2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6 - 3</v>
      </c>
      <c r="P34" s="34">
        <f>L34*3+M34</f>
        <v>6</v>
      </c>
      <c r="R34" s="123">
        <f>DATE(2026,6,18)+TIME(14,0,0)+gmt_delta</f>
        <v>46192.041666666672</v>
      </c>
      <c r="S34" s="127" t="str">
        <f t="shared" si="0"/>
        <v>Mexico_lose</v>
      </c>
      <c r="T34" s="127" t="str">
        <f t="shared" si="1"/>
        <v>Korea Republic_win</v>
      </c>
      <c r="U34" s="123">
        <f t="shared" si="7"/>
        <v>0</v>
      </c>
      <c r="V34" s="123">
        <f t="shared" si="2"/>
        <v>0</v>
      </c>
      <c r="W34" s="123">
        <f t="shared" si="3"/>
        <v>0</v>
      </c>
      <c r="X34" s="123">
        <f t="shared" si="8"/>
        <v>0</v>
      </c>
      <c r="Y34" s="123">
        <f t="shared" si="9"/>
        <v>0</v>
      </c>
      <c r="Z34" s="123">
        <f t="shared" si="10"/>
        <v>0</v>
      </c>
      <c r="AA34" s="123">
        <f t="shared" si="4"/>
        <v>0</v>
      </c>
      <c r="AB34" s="123">
        <f t="shared" si="5"/>
        <v>-1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6</v>
      </c>
      <c r="AL34" s="123">
        <f>AI34-AJ34</f>
        <v>-3</v>
      </c>
      <c r="AM34" s="123">
        <f>AL34-AL36</f>
        <v>4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19805926.268404033</v>
      </c>
      <c r="AQ34" s="126">
        <f>VLOOKUP(AE34,db_fifarank,2,FALSE)</f>
        <v>1532.98</v>
      </c>
      <c r="AR34" s="125">
        <f>AP34/AP36</f>
        <v>0.22006581995712138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1</v>
      </c>
      <c r="BN34" s="63">
        <v>1</v>
      </c>
      <c r="BO34" s="25"/>
      <c r="BP34" s="112">
        <f>IF(OR(BM34="",BM35="",AND(BN34="",BN35&lt;&gt;""),AND(BN35="",BN34&lt;&gt;""),AND(BO34="",BO35&lt;&gt;""),AND(BO35="",BO34&lt;&gt;"")),"",BM34*1000+BN34*10+BO34)</f>
        <v>1010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6"/>
        <v>2.0833333333333332E-2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3 - 6</v>
      </c>
      <c r="P35" s="34">
        <f>L35*3+M35</f>
        <v>1</v>
      </c>
      <c r="R35" s="123">
        <f>DATE(2026,6,19)+TIME(13,30,0)+gmt_delta</f>
        <v>46193.020833333336</v>
      </c>
      <c r="S35" s="127" t="str">
        <f t="shared" si="0"/>
        <v>Brazil_win</v>
      </c>
      <c r="T35" s="127" t="str">
        <f t="shared" si="1"/>
        <v>Haiti_lose</v>
      </c>
      <c r="U35" s="123">
        <f t="shared" si="7"/>
        <v>0</v>
      </c>
      <c r="V35" s="123">
        <f t="shared" si="2"/>
        <v>0</v>
      </c>
      <c r="W35" s="123">
        <f t="shared" si="3"/>
        <v>0</v>
      </c>
      <c r="X35" s="123">
        <f t="shared" si="8"/>
        <v>0</v>
      </c>
      <c r="Y35" s="123">
        <f t="shared" si="9"/>
        <v>0</v>
      </c>
      <c r="Z35" s="123">
        <f t="shared" si="10"/>
        <v>0</v>
      </c>
      <c r="AA35" s="123">
        <f t="shared" si="4"/>
        <v>0</v>
      </c>
      <c r="AB35" s="123">
        <f t="shared" si="5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3</v>
      </c>
      <c r="AL35" s="123">
        <f>AI35-AJ35</f>
        <v>3</v>
      </c>
      <c r="AM35" s="123">
        <f>AL35-AL36</f>
        <v>10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60000007.267464057</v>
      </c>
      <c r="AQ35" s="126">
        <f>VLOOKUP(AE35,db_fifarank,2,FALSE)</f>
        <v>1594.78</v>
      </c>
      <c r="AR35" s="125">
        <f>AP35/AP36</f>
        <v>0.66666666419998222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1</v>
      </c>
      <c r="BN35" s="64">
        <v>2</v>
      </c>
      <c r="BO35" s="27"/>
      <c r="BP35" s="113">
        <f>IF(BP34="","",BM35*1000+BN35*10+BO35)</f>
        <v>1020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6"/>
        <v>0.91666666666666663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1 - 8</v>
      </c>
      <c r="P36" s="37">
        <f>L36*3+M36</f>
        <v>1</v>
      </c>
      <c r="R36" s="123">
        <f>DATE(2026,6,19)+TIME(11,0,0)+gmt_delta</f>
        <v>46192.916666666672</v>
      </c>
      <c r="S36" s="127" t="str">
        <f t="shared" si="0"/>
        <v>Scotland_draw</v>
      </c>
      <c r="T36" s="127" t="str">
        <f t="shared" si="1"/>
        <v>Morocco_draw</v>
      </c>
      <c r="U36" s="123">
        <f t="shared" si="7"/>
        <v>0</v>
      </c>
      <c r="V36" s="123">
        <f t="shared" si="2"/>
        <v>0</v>
      </c>
      <c r="W36" s="123">
        <f t="shared" si="3"/>
        <v>0</v>
      </c>
      <c r="X36" s="123">
        <f t="shared" si="8"/>
        <v>0</v>
      </c>
      <c r="Y36" s="123">
        <f t="shared" si="9"/>
        <v>0</v>
      </c>
      <c r="Z36" s="123">
        <f t="shared" si="10"/>
        <v>0</v>
      </c>
      <c r="AA36" s="123">
        <f t="shared" si="4"/>
        <v>0</v>
      </c>
      <c r="AB36" s="123">
        <f t="shared" si="5"/>
        <v>0</v>
      </c>
      <c r="AF36" s="123">
        <f>MAX(AF32:AF35)-MIN(AF32:AF35)+1</f>
        <v>4</v>
      </c>
      <c r="AG36" s="123">
        <f>MAX(AG32:AG35)-MIN(AG32:AG35)+1</f>
        <v>2</v>
      </c>
      <c r="AH36" s="123">
        <f>MAX(AH32:AH35)-MIN(AH32:AH35)+1</f>
        <v>3</v>
      </c>
      <c r="AI36" s="123">
        <f>MAX(AI32:AI35)+1</f>
        <v>10</v>
      </c>
      <c r="AL36" s="123">
        <f>MIN(AL32:AL35)</f>
        <v>-7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90000011.234198526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Canada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6"/>
        <v>0.125</v>
      </c>
      <c r="E37" s="78" t="str">
        <f>AE26</f>
        <v>United States</v>
      </c>
      <c r="F37" s="19">
        <v>1</v>
      </c>
      <c r="G37" s="20">
        <v>2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0"/>
        <v>United States_lose</v>
      </c>
      <c r="T37" s="127" t="str">
        <f t="shared" si="1"/>
        <v>Australia_win</v>
      </c>
      <c r="U37" s="123">
        <f t="shared" si="7"/>
        <v>0</v>
      </c>
      <c r="V37" s="123">
        <f t="shared" si="2"/>
        <v>0</v>
      </c>
      <c r="W37" s="123">
        <f t="shared" si="3"/>
        <v>0</v>
      </c>
      <c r="X37" s="123">
        <f t="shared" si="8"/>
        <v>0</v>
      </c>
      <c r="Y37" s="123">
        <f t="shared" si="9"/>
        <v>0</v>
      </c>
      <c r="Z37" s="123">
        <f t="shared" si="10"/>
        <v>0</v>
      </c>
      <c r="AA37" s="123">
        <f t="shared" si="4"/>
        <v>0</v>
      </c>
      <c r="AB37" s="123">
        <f t="shared" si="5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3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3000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6"/>
        <v>0.79166666666666663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0"/>
        <v>Turkey_draw</v>
      </c>
      <c r="T38" s="127" t="str">
        <f t="shared" si="1"/>
        <v>Paraguay_draw</v>
      </c>
      <c r="U38" s="123">
        <f t="shared" si="7"/>
        <v>0</v>
      </c>
      <c r="V38" s="123">
        <f t="shared" si="2"/>
        <v>0</v>
      </c>
      <c r="W38" s="123">
        <f t="shared" si="3"/>
        <v>0</v>
      </c>
      <c r="X38" s="123">
        <f t="shared" si="8"/>
        <v>0</v>
      </c>
      <c r="Y38" s="123">
        <f t="shared" si="9"/>
        <v>0</v>
      </c>
      <c r="Z38" s="123">
        <f t="shared" si="10"/>
        <v>0</v>
      </c>
      <c r="AA38" s="123">
        <f t="shared" si="4"/>
        <v>0</v>
      </c>
      <c r="AB38" s="123">
        <f t="shared" si="5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10</v>
      </c>
      <c r="AJ38" s="123">
        <f>SUMIF($E$7:$E$78,$AE38,$G$7:$G$78) + SUMIF($H$7:$H$78,$AE38,$F$7:$F$78)</f>
        <v>4</v>
      </c>
      <c r="AL38" s="123">
        <f>AI38-AJ38</f>
        <v>6</v>
      </c>
      <c r="AM38" s="123">
        <f>AL38-AL42</f>
        <v>11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87500010.076636508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6"/>
        <v>0.83333333333333337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10 - 4</v>
      </c>
      <c r="P39" s="32">
        <f>L39*3+M39</f>
        <v>7</v>
      </c>
      <c r="R39" s="123">
        <f>DATE(2026,6,20)+TIME(9,0,0)+gmt_delta</f>
        <v>46193.833333333336</v>
      </c>
      <c r="S39" s="127" t="str">
        <f t="shared" si="0"/>
        <v>Germany_win</v>
      </c>
      <c r="T39" s="127" t="str">
        <f t="shared" si="1"/>
        <v>Ivory Coast_lose</v>
      </c>
      <c r="U39" s="123">
        <f t="shared" si="7"/>
        <v>0</v>
      </c>
      <c r="V39" s="123">
        <f t="shared" si="2"/>
        <v>0</v>
      </c>
      <c r="W39" s="123">
        <f t="shared" si="3"/>
        <v>0</v>
      </c>
      <c r="X39" s="123">
        <f t="shared" si="8"/>
        <v>0</v>
      </c>
      <c r="Y39" s="123">
        <f t="shared" si="9"/>
        <v>0</v>
      </c>
      <c r="Z39" s="123">
        <f t="shared" si="10"/>
        <v>0</v>
      </c>
      <c r="AA39" s="123">
        <f t="shared" ref="AA39:AA70" si="11">IF(OR(E39=my_team,H39=my_team),1,IF(INT(MATCH(E39,$AE$8:$AE$78,0)/6)=$AA$6,1,0))</f>
        <v>0</v>
      </c>
      <c r="AB39" s="123">
        <f t="shared" si="5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6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62500005.364466585</v>
      </c>
      <c r="AQ39" s="126">
        <f>VLOOKUP(AE39,db_fifarank,2,FALSE)</f>
        <v>1660.43</v>
      </c>
      <c r="AR39" s="125">
        <f>AP39/AP42</f>
        <v>0.714285685172385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Mexico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6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4 - 3</v>
      </c>
      <c r="P40" s="34">
        <f>L40*3+M40</f>
        <v>5</v>
      </c>
      <c r="R40" s="123">
        <f>DATE(2026,6,20)+TIME(13,0,0)+gmt_delta</f>
        <v>46194</v>
      </c>
      <c r="S40" s="127" t="str">
        <f t="shared" si="0"/>
        <v>Ecuador_win</v>
      </c>
      <c r="T40" s="127" t="str">
        <f t="shared" si="1"/>
        <v>Curaçao_lose</v>
      </c>
      <c r="U40" s="123">
        <f t="shared" si="7"/>
        <v>0</v>
      </c>
      <c r="V40" s="123">
        <f t="shared" si="2"/>
        <v>0</v>
      </c>
      <c r="W40" s="123">
        <f t="shared" si="3"/>
        <v>0</v>
      </c>
      <c r="X40" s="123">
        <f t="shared" si="8"/>
        <v>0</v>
      </c>
      <c r="Y40" s="123">
        <f t="shared" si="9"/>
        <v>0</v>
      </c>
      <c r="Z40" s="123">
        <f t="shared" si="10"/>
        <v>0</v>
      </c>
      <c r="AA40" s="123">
        <f t="shared" si="11"/>
        <v>0</v>
      </c>
      <c r="AB40" s="123">
        <f t="shared" si="5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3</v>
      </c>
      <c r="AN40" s="123">
        <f>AF40*3+AG40</f>
        <v>2</v>
      </c>
      <c r="AO40" s="123">
        <f>AN40/AN42*10+BA40</f>
        <v>2.5</v>
      </c>
      <c r="AP40" s="123">
        <f>AO40*10000000+BI40*100+AM40/AM42*10+AI40/AI42*1++IF(AQ40=0,ROW(),AQ40)/2000000</f>
        <v>25000002.773484658</v>
      </c>
      <c r="AQ40" s="126">
        <f>VLOOKUP(AE40,db_fifarank,2,FALSE)</f>
        <v>1514.77</v>
      </c>
      <c r="AR40" s="125">
        <f>AP40/AP42</f>
        <v>0.28571428124264481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6"/>
        <v>0.70833333333333337</v>
      </c>
      <c r="E41" s="78" t="str">
        <f>AE38</f>
        <v>Netherlands</v>
      </c>
      <c r="F41" s="19">
        <v>4</v>
      </c>
      <c r="G41" s="20">
        <v>2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3 - 5</v>
      </c>
      <c r="P41" s="34">
        <f>L41*3+M41</f>
        <v>2</v>
      </c>
      <c r="R41" s="123">
        <f>DATE(2026,6,20)+TIME(6,0,0)+gmt_delta</f>
        <v>46193.708333333336</v>
      </c>
      <c r="S41" s="127" t="str">
        <f t="shared" si="0"/>
        <v>Netherlands_win</v>
      </c>
      <c r="T41" s="127" t="str">
        <f t="shared" si="1"/>
        <v>Sweden_lose</v>
      </c>
      <c r="U41" s="123">
        <f t="shared" si="7"/>
        <v>0</v>
      </c>
      <c r="V41" s="123">
        <f t="shared" si="2"/>
        <v>0</v>
      </c>
      <c r="W41" s="123">
        <f t="shared" si="3"/>
        <v>0</v>
      </c>
      <c r="X41" s="123">
        <f t="shared" si="8"/>
        <v>0</v>
      </c>
      <c r="Y41" s="123">
        <f t="shared" si="9"/>
        <v>0</v>
      </c>
      <c r="Z41" s="123">
        <f t="shared" si="10"/>
        <v>0</v>
      </c>
      <c r="AA41" s="123">
        <f t="shared" si="11"/>
        <v>0</v>
      </c>
      <c r="AB41" s="123">
        <f t="shared" si="5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7</v>
      </c>
      <c r="AL41" s="123">
        <f>AI41-AJ41</f>
        <v>-5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12500000.182559706</v>
      </c>
      <c r="AQ41" s="126">
        <f>VLOOKUP(AE41,db_fifarank,2,FALSE)</f>
        <v>1483.05</v>
      </c>
      <c r="AR41" s="125">
        <f>AP41/AP42</f>
        <v>0.14285712685923702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6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2 - 7</v>
      </c>
      <c r="P42" s="37">
        <f>L42*3+M42</f>
        <v>1</v>
      </c>
      <c r="R42" s="123">
        <f>DATE(2026,6,20)+TIME(17,0,0)+gmt_delta</f>
        <v>46194.166666666672</v>
      </c>
      <c r="S42" s="127" t="str">
        <f t="shared" si="0"/>
        <v>Tunisia_lose</v>
      </c>
      <c r="T42" s="127" t="str">
        <f t="shared" si="1"/>
        <v>Japan_win</v>
      </c>
      <c r="U42" s="123">
        <f t="shared" si="7"/>
        <v>0</v>
      </c>
      <c r="V42" s="123">
        <f t="shared" si="2"/>
        <v>0</v>
      </c>
      <c r="W42" s="123">
        <f t="shared" si="3"/>
        <v>0</v>
      </c>
      <c r="X42" s="123">
        <f t="shared" si="8"/>
        <v>0</v>
      </c>
      <c r="Y42" s="123">
        <f t="shared" si="9"/>
        <v>0</v>
      </c>
      <c r="Z42" s="123">
        <f t="shared" si="10"/>
        <v>0</v>
      </c>
      <c r="AA42" s="123">
        <f t="shared" si="11"/>
        <v>0</v>
      </c>
      <c r="AB42" s="123">
        <f t="shared" si="5"/>
        <v>-1</v>
      </c>
      <c r="AF42" s="123">
        <f>MAX(AF38:AF41)-MIN(AF38:AF41)+1</f>
        <v>3</v>
      </c>
      <c r="AG42" s="123">
        <f>MAX(AG38:AG41)-MIN(AG38:AG41)+1</f>
        <v>2</v>
      </c>
      <c r="AH42" s="123">
        <f>MAX(AH38:AH41)-MIN(AH38:AH41)+1</f>
        <v>3</v>
      </c>
      <c r="AI42" s="123">
        <f>MAX(AI38:AI41)+1</f>
        <v>11</v>
      </c>
      <c r="AL42" s="123">
        <f>MIN(AL38:AL41)</f>
        <v>-5</v>
      </c>
      <c r="AM42" s="123">
        <f>MAX(AM38:AM41)+1</f>
        <v>12</v>
      </c>
      <c r="AN42" s="123">
        <f>MAX(AN38:AN41)+1</f>
        <v>8</v>
      </c>
      <c r="AO42" s="123">
        <f>MAX(AO38:AO41)+1</f>
        <v>9.75</v>
      </c>
      <c r="AP42" s="123">
        <f>MAX(AP38:AP41)+1</f>
        <v>87500011.076636508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6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0"/>
        <v>Uruguay_win</v>
      </c>
      <c r="T43" s="127" t="str">
        <f t="shared" si="1"/>
        <v>Cape Verde_lose</v>
      </c>
      <c r="U43" s="123">
        <f t="shared" si="7"/>
        <v>0</v>
      </c>
      <c r="V43" s="123">
        <f t="shared" si="2"/>
        <v>0</v>
      </c>
      <c r="W43" s="123">
        <f t="shared" si="3"/>
        <v>0</v>
      </c>
      <c r="X43" s="123">
        <f t="shared" si="8"/>
        <v>0</v>
      </c>
      <c r="Y43" s="123">
        <f t="shared" si="9"/>
        <v>0</v>
      </c>
      <c r="Z43" s="123">
        <f t="shared" si="10"/>
        <v>0</v>
      </c>
      <c r="AA43" s="123">
        <f t="shared" si="11"/>
        <v>0</v>
      </c>
      <c r="AB43" s="123">
        <f t="shared" si="5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6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0"/>
        <v>Spain_win</v>
      </c>
      <c r="T44" s="127" t="str">
        <f t="shared" si="1"/>
        <v>Saudi Arabia_lose</v>
      </c>
      <c r="U44" s="123">
        <f t="shared" si="7"/>
        <v>0</v>
      </c>
      <c r="V44" s="123">
        <f t="shared" si="2"/>
        <v>0</v>
      </c>
      <c r="W44" s="123">
        <f t="shared" si="3"/>
        <v>0</v>
      </c>
      <c r="X44" s="123">
        <f t="shared" si="8"/>
        <v>0</v>
      </c>
      <c r="Y44" s="123">
        <f t="shared" si="9"/>
        <v>0</v>
      </c>
      <c r="Z44" s="123">
        <f t="shared" si="10"/>
        <v>0</v>
      </c>
      <c r="AA44" s="123">
        <f t="shared" si="11"/>
        <v>0</v>
      </c>
      <c r="AB44" s="123">
        <f t="shared" si="5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3</v>
      </c>
      <c r="AL44" s="123">
        <f>AI44-AJ44</f>
        <v>2</v>
      </c>
      <c r="AM44" s="123">
        <f>AL44-AL48</f>
        <v>5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87500009.167534009</v>
      </c>
      <c r="AQ44" s="126">
        <f>VLOOKUP(AE44,db_fifarank,2,FALSE)</f>
        <v>1734.71</v>
      </c>
      <c r="AR44" s="125">
        <f>AP44/AP48</f>
        <v>0.99999998857142991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>
        <v>1</v>
      </c>
      <c r="BV44" s="25"/>
      <c r="BW44" s="112">
        <f>IF(OR(BT44="",BT45="",AND(BU44="",BU45&lt;&gt;""),AND(BU45="",BU44&lt;&gt;""),AND(BV44="",BV45&lt;&gt;""),AND(BV45="",BV44&lt;&gt;"")),"",BT44*1000+BU44*10+BV44)</f>
        <v>1010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6"/>
        <v>0.79166666666666663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5 - 3</v>
      </c>
      <c r="P45" s="32">
        <f>L45*3+M45</f>
        <v>7</v>
      </c>
      <c r="R45" s="123">
        <f>DATE(2026,6,21)+TIME(8,0,0)+gmt_delta</f>
        <v>46194.791666666672</v>
      </c>
      <c r="S45" s="127" t="str">
        <f t="shared" si="0"/>
        <v>Belgium_win</v>
      </c>
      <c r="T45" s="127" t="str">
        <f t="shared" si="1"/>
        <v>Iran_lose</v>
      </c>
      <c r="U45" s="123">
        <f t="shared" si="7"/>
        <v>0</v>
      </c>
      <c r="V45" s="123">
        <f t="shared" si="2"/>
        <v>0</v>
      </c>
      <c r="W45" s="123">
        <f t="shared" si="3"/>
        <v>0</v>
      </c>
      <c r="X45" s="123">
        <f t="shared" si="8"/>
        <v>0</v>
      </c>
      <c r="Y45" s="123">
        <f t="shared" si="9"/>
        <v>0</v>
      </c>
      <c r="Z45" s="123">
        <f t="shared" si="10"/>
        <v>0</v>
      </c>
      <c r="AA45" s="123">
        <f t="shared" si="11"/>
        <v>0</v>
      </c>
      <c r="AB45" s="123">
        <f t="shared" si="5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2</v>
      </c>
      <c r="AL45" s="123">
        <f>AI45-AJ45</f>
        <v>1</v>
      </c>
      <c r="AM45" s="123">
        <f>AL45-AL48</f>
        <v>4</v>
      </c>
      <c r="AN45" s="123">
        <f>AF45*3+AG45</f>
        <v>5</v>
      </c>
      <c r="AO45" s="123">
        <f>AN45/AN48*10+BA45</f>
        <v>6.25</v>
      </c>
      <c r="AP45" s="123">
        <f>AO45*10000000+BI45*100+AM45/AM48*10+AI45/AI48*1++IF(AQ45=0,ROW(),AQ45)/2000000</f>
        <v>62500007.167448282</v>
      </c>
      <c r="AQ45" s="126">
        <f>VLOOKUP(AE45,db_fifarank,2,FALSE)</f>
        <v>1563.24</v>
      </c>
      <c r="AR45" s="125">
        <f>AP45/AP48</f>
        <v>0.71428571319913148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1</v>
      </c>
      <c r="BU45" s="64">
        <v>2</v>
      </c>
      <c r="BV45" s="27"/>
      <c r="BW45" s="113">
        <f>IF(BW44="","",BT45*1000+BU45*10+BV45)</f>
        <v>1020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6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3 - 2</v>
      </c>
      <c r="P46" s="34">
        <f>L46*3+M46</f>
        <v>5</v>
      </c>
      <c r="R46" s="123">
        <f>DATE(2026,6,21)+TIME(14,0,0)+gmt_delta</f>
        <v>46195.041666666672</v>
      </c>
      <c r="S46" s="127" t="str">
        <f t="shared" si="0"/>
        <v>New Zealand_lose</v>
      </c>
      <c r="T46" s="127" t="str">
        <f t="shared" si="1"/>
        <v>Egypt_win</v>
      </c>
      <c r="U46" s="123">
        <f t="shared" si="7"/>
        <v>0</v>
      </c>
      <c r="V46" s="123">
        <f t="shared" si="2"/>
        <v>0</v>
      </c>
      <c r="W46" s="123">
        <f t="shared" si="3"/>
        <v>0</v>
      </c>
      <c r="X46" s="123">
        <f t="shared" si="8"/>
        <v>0</v>
      </c>
      <c r="Y46" s="123">
        <f t="shared" si="9"/>
        <v>0</v>
      </c>
      <c r="Z46" s="123">
        <f t="shared" si="10"/>
        <v>0</v>
      </c>
      <c r="AA46" s="123">
        <f t="shared" si="11"/>
        <v>0</v>
      </c>
      <c r="AB46" s="123">
        <f t="shared" si="5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3</v>
      </c>
      <c r="AL46" s="123">
        <f>AI46-AJ46</f>
        <v>0</v>
      </c>
      <c r="AM46" s="123">
        <f>AL46-AL48</f>
        <v>3</v>
      </c>
      <c r="AN46" s="123">
        <f>AF46*3+AG46</f>
        <v>4</v>
      </c>
      <c r="AO46" s="123">
        <f>AN46/AN48*10+BA46</f>
        <v>5</v>
      </c>
      <c r="AP46" s="123">
        <f>AO46*10000000+BI46*100+AM46/AM48*10+AI46/AI48*1++IF(AQ46=0,ROW(),AQ46)/2000000</f>
        <v>50000005.50080765</v>
      </c>
      <c r="AQ46" s="126">
        <f>VLOOKUP(AE46,db_fifarank,2,FALSE)</f>
        <v>1615.3</v>
      </c>
      <c r="AR46" s="125">
        <f>AP46/AP48</f>
        <v>0.57142856789472285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6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3 - 3</v>
      </c>
      <c r="P47" s="34">
        <f>L47*3+M47</f>
        <v>4</v>
      </c>
      <c r="R47" s="123">
        <f>DATE(2026,6,22)+TIME(13,0,0)+gmt_delta</f>
        <v>46196</v>
      </c>
      <c r="S47" s="127" t="str">
        <f t="shared" ref="S47:S78" si="12">IF(OR(F47="",G47=""),"",IF(F47&gt;G47,E47&amp;"_win",IF(F47&lt;G47,E47&amp;"_lose",E47&amp;"_draw")))</f>
        <v>Norway_win</v>
      </c>
      <c r="T47" s="127" t="str">
        <f t="shared" ref="T47:T78" si="13">IF(S47="","",IF(F47&lt;G47,H47&amp;"_win",IF(F47&gt;G47,H47&amp;"_lose",H47&amp;"_draw")))</f>
        <v>Senegal_lose</v>
      </c>
      <c r="U47" s="123">
        <f t="shared" si="7"/>
        <v>0</v>
      </c>
      <c r="V47" s="123">
        <f t="shared" ref="V47:V78" si="14">U47*F47</f>
        <v>0</v>
      </c>
      <c r="W47" s="123">
        <f t="shared" ref="W47:W78" si="15">U47*G47</f>
        <v>0</v>
      </c>
      <c r="X47" s="123">
        <f t="shared" si="8"/>
        <v>0</v>
      </c>
      <c r="Y47" s="123">
        <f t="shared" si="9"/>
        <v>0</v>
      </c>
      <c r="Z47" s="123">
        <f t="shared" si="10"/>
        <v>0</v>
      </c>
      <c r="AA47" s="123">
        <f t="shared" si="11"/>
        <v>0</v>
      </c>
      <c r="AB47" s="123">
        <f t="shared" ref="AB47:AB78" si="16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4</v>
      </c>
      <c r="AL47" s="123">
        <f>AI47-AJ47</f>
        <v>-3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0.16730745166666666</v>
      </c>
      <c r="AQ47" s="126">
        <f>VLOOKUP(AE47,db_fifarank,2,FALSE)</f>
        <v>1281.57</v>
      </c>
      <c r="AR47" s="125">
        <f>AP47/AP48</f>
        <v>1.9120849397197487E-9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6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1 - 4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2"/>
        <v>France_win</v>
      </c>
      <c r="T48" s="127" t="str">
        <f t="shared" si="13"/>
        <v>Iraq_lose</v>
      </c>
      <c r="U48" s="123">
        <f t="shared" si="7"/>
        <v>0</v>
      </c>
      <c r="V48" s="123">
        <f t="shared" si="14"/>
        <v>0</v>
      </c>
      <c r="W48" s="123">
        <f t="shared" si="15"/>
        <v>0</v>
      </c>
      <c r="X48" s="123">
        <f t="shared" si="8"/>
        <v>0</v>
      </c>
      <c r="Y48" s="123">
        <f t="shared" si="9"/>
        <v>0</v>
      </c>
      <c r="Z48" s="123">
        <f t="shared" si="10"/>
        <v>0</v>
      </c>
      <c r="AA48" s="123">
        <f t="shared" si="11"/>
        <v>0</v>
      </c>
      <c r="AB48" s="123">
        <f t="shared" si="16"/>
        <v>1</v>
      </c>
      <c r="AF48" s="123">
        <f>MAX(AF44:AF47)-MIN(AF44:AF47)+1</f>
        <v>3</v>
      </c>
      <c r="AG48" s="123">
        <f>MAX(AG44:AG47)-MIN(AG44:AG47)+1</f>
        <v>3</v>
      </c>
      <c r="AH48" s="123">
        <f>MAX(AH44:AH47)-MIN(AH44:AH47)+1</f>
        <v>4</v>
      </c>
      <c r="AI48" s="123">
        <f>MAX(AI44:AI47)+1</f>
        <v>6</v>
      </c>
      <c r="AL48" s="123">
        <f>MIN(AL44:AL47)</f>
        <v>-3</v>
      </c>
      <c r="AM48" s="123">
        <f>MAX(AM44:AM47)+1</f>
        <v>6</v>
      </c>
      <c r="AN48" s="123">
        <f>MAX(AN44:AN47)+1</f>
        <v>8</v>
      </c>
      <c r="AO48" s="123">
        <f>MAX(AO44:AO47)+1</f>
        <v>9.75</v>
      </c>
      <c r="AP48" s="123">
        <f>MAX(AP44:AP47)+1</f>
        <v>87500010.167534009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Norway</v>
      </c>
      <c r="CA48" s="61">
        <v>2</v>
      </c>
      <c r="CB48" s="63">
        <v>2</v>
      </c>
      <c r="CC48" s="25">
        <v>5</v>
      </c>
      <c r="CD48" s="112">
        <f>IF(OR(CA48="",CA49="",AND(CB48="",CB49&lt;&gt;""),AND(CB49="",CB48&lt;&gt;""),AND(CC48="",CC49&lt;&gt;""),AND(CC49="",CC48&lt;&gt;"")),"",CA48*1000+CB48*10+CC48)</f>
        <v>2025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6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2"/>
        <v>Argentina_win</v>
      </c>
      <c r="T49" s="127" t="str">
        <f t="shared" si="13"/>
        <v>Austria_lose</v>
      </c>
      <c r="U49" s="123">
        <f t="shared" si="7"/>
        <v>0</v>
      </c>
      <c r="V49" s="123">
        <f t="shared" si="14"/>
        <v>0</v>
      </c>
      <c r="W49" s="123">
        <f t="shared" si="15"/>
        <v>0</v>
      </c>
      <c r="X49" s="123">
        <f t="shared" si="8"/>
        <v>0</v>
      </c>
      <c r="Y49" s="123">
        <f t="shared" si="9"/>
        <v>0</v>
      </c>
      <c r="Z49" s="123">
        <f t="shared" si="10"/>
        <v>0</v>
      </c>
      <c r="AA49" s="123">
        <f t="shared" si="11"/>
        <v>0</v>
      </c>
      <c r="AB49" s="123">
        <f t="shared" si="16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>
        <v>2</v>
      </c>
      <c r="CC49" s="27">
        <v>7</v>
      </c>
      <c r="CD49" s="113">
        <f>IF(CD48="","",CA49*1000+CB49*10+CC49)</f>
        <v>2027</v>
      </c>
      <c r="CK49" s="114"/>
      <c r="CL49" s="115"/>
      <c r="CM49" s="13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6"/>
        <v>0.125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2"/>
        <v>Jordan_draw</v>
      </c>
      <c r="T50" s="127" t="str">
        <f t="shared" si="13"/>
        <v>Algeria_draw</v>
      </c>
      <c r="U50" s="123">
        <f t="shared" si="7"/>
        <v>0</v>
      </c>
      <c r="V50" s="123">
        <f t="shared" si="14"/>
        <v>0</v>
      </c>
      <c r="W50" s="123">
        <f t="shared" si="15"/>
        <v>0</v>
      </c>
      <c r="X50" s="123">
        <f t="shared" si="8"/>
        <v>0</v>
      </c>
      <c r="Y50" s="123">
        <f t="shared" si="9"/>
        <v>0</v>
      </c>
      <c r="Z50" s="123">
        <f t="shared" si="10"/>
        <v>0</v>
      </c>
      <c r="AA50" s="123">
        <f t="shared" si="11"/>
        <v>1</v>
      </c>
      <c r="AB50" s="123">
        <f t="shared" si="16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2</v>
      </c>
      <c r="AL50" s="123">
        <f>AI50-AJ50</f>
        <v>8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90000010.285029113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Czech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6"/>
        <v>0.83333333333333337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2"/>
        <v>England_win</v>
      </c>
      <c r="T51" s="127" t="str">
        <f t="shared" si="13"/>
        <v>Ghana_lose</v>
      </c>
      <c r="U51" s="123">
        <f t="shared" si="7"/>
        <v>0</v>
      </c>
      <c r="V51" s="123">
        <f t="shared" si="14"/>
        <v>0</v>
      </c>
      <c r="W51" s="123">
        <f t="shared" si="15"/>
        <v>0</v>
      </c>
      <c r="X51" s="123">
        <f t="shared" si="8"/>
        <v>0</v>
      </c>
      <c r="Y51" s="123">
        <f t="shared" si="9"/>
        <v>0</v>
      </c>
      <c r="Z51" s="123">
        <f t="shared" si="10"/>
        <v>0</v>
      </c>
      <c r="AA51" s="123">
        <f t="shared" si="11"/>
        <v>0</v>
      </c>
      <c r="AB51" s="123">
        <f t="shared" si="16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9</v>
      </c>
      <c r="AL51" s="123">
        <f>AI51-AJ51</f>
        <v>-7</v>
      </c>
      <c r="AM51" s="123">
        <f>AL51-AL54</f>
        <v>0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30000000.182501249</v>
      </c>
      <c r="AQ51" s="126">
        <f>VLOOKUP(AE51,db_fifarank,2,FALSE)</f>
        <v>1366.13</v>
      </c>
      <c r="AR51" s="125">
        <f>AP51/AP54</f>
        <v>0.33333329356472585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Cape Verde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6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7 - 3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2"/>
        <v>Panama_lose</v>
      </c>
      <c r="T52" s="127" t="str">
        <f t="shared" si="13"/>
        <v>Croatia_win</v>
      </c>
      <c r="U52" s="123">
        <f t="shared" si="7"/>
        <v>0</v>
      </c>
      <c r="V52" s="123">
        <f t="shared" si="14"/>
        <v>0</v>
      </c>
      <c r="W52" s="123">
        <f t="shared" si="15"/>
        <v>0</v>
      </c>
      <c r="X52" s="123">
        <f t="shared" si="8"/>
        <v>0</v>
      </c>
      <c r="Y52" s="123">
        <f t="shared" si="9"/>
        <v>0</v>
      </c>
      <c r="Z52" s="123">
        <f t="shared" si="10"/>
        <v>0</v>
      </c>
      <c r="AA52" s="123">
        <f t="shared" si="11"/>
        <v>0</v>
      </c>
      <c r="AB52" s="123">
        <f t="shared" si="16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2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1.3416198059090909</v>
      </c>
      <c r="AQ52" s="126">
        <f>VLOOKUP(AE52,db_fifarank,2,FALSE)</f>
        <v>1421.43</v>
      </c>
      <c r="AR52" s="125">
        <f>AP52/AP54</f>
        <v>1.4906884863160681E-8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Czech Republic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6"/>
        <v>0.70833333333333337</v>
      </c>
      <c r="E53" s="78" t="str">
        <f>AE68</f>
        <v>Portugal</v>
      </c>
      <c r="F53" s="19">
        <v>4</v>
      </c>
      <c r="G53" s="20">
        <v>1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2 - 9</v>
      </c>
      <c r="P53" s="34">
        <f>L53*3+M53</f>
        <v>3</v>
      </c>
      <c r="R53" s="123">
        <f>DATE(2026,6,23)+TIME(6,0,0)+gmt_delta</f>
        <v>46196.708333333336</v>
      </c>
      <c r="S53" s="127" t="str">
        <f t="shared" si="12"/>
        <v>Portugal_win</v>
      </c>
      <c r="T53" s="127" t="str">
        <f t="shared" si="13"/>
        <v>Uzbekistan_lose</v>
      </c>
      <c r="U53" s="123">
        <f t="shared" si="7"/>
        <v>0</v>
      </c>
      <c r="V53" s="123">
        <f t="shared" si="14"/>
        <v>0</v>
      </c>
      <c r="W53" s="123">
        <f t="shared" si="15"/>
        <v>0</v>
      </c>
      <c r="X53" s="123">
        <f t="shared" si="8"/>
        <v>0</v>
      </c>
      <c r="Y53" s="123">
        <f t="shared" si="9"/>
        <v>0</v>
      </c>
      <c r="Z53" s="123">
        <f t="shared" si="10"/>
        <v>0</v>
      </c>
      <c r="AA53" s="123">
        <f t="shared" si="11"/>
        <v>0</v>
      </c>
      <c r="AB53" s="123">
        <f t="shared" si="16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3</v>
      </c>
      <c r="AL53" s="123">
        <f>AI53-AJ53</f>
        <v>4</v>
      </c>
      <c r="AM53" s="123">
        <f>AL53-AL54</f>
        <v>11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60000007.512200169</v>
      </c>
      <c r="AQ53" s="126">
        <f>VLOOKUP(AE53,db_fifarank,2,FALSE)</f>
        <v>1673.07</v>
      </c>
      <c r="AR53" s="125">
        <f>AP53/AP54</f>
        <v>0.6666666665427492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4</v>
      </c>
      <c r="BU53" s="64"/>
      <c r="BV53" s="27"/>
      <c r="BW53" s="112">
        <f>IF(BW52="","",BT53*1000+BU53*10+BV53)</f>
        <v>4000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6"/>
        <v>8.3333333333333329E-2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1 - 6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2"/>
        <v>Colombia_win</v>
      </c>
      <c r="T54" s="127" t="str">
        <f t="shared" si="13"/>
        <v>DR Congo_lose</v>
      </c>
      <c r="U54" s="123">
        <f t="shared" si="7"/>
        <v>0</v>
      </c>
      <c r="V54" s="123">
        <f t="shared" si="14"/>
        <v>0</v>
      </c>
      <c r="W54" s="123">
        <f t="shared" si="15"/>
        <v>0</v>
      </c>
      <c r="X54" s="123">
        <f t="shared" si="8"/>
        <v>0</v>
      </c>
      <c r="Y54" s="123">
        <f t="shared" si="9"/>
        <v>0</v>
      </c>
      <c r="Z54" s="123">
        <f t="shared" si="10"/>
        <v>0</v>
      </c>
      <c r="AA54" s="123">
        <f t="shared" si="11"/>
        <v>0</v>
      </c>
      <c r="AB54" s="123">
        <f t="shared" si="16"/>
        <v>1</v>
      </c>
      <c r="AF54" s="123">
        <f>MAX(AF50:AF53)-MIN(AF50:AF53)+1</f>
        <v>4</v>
      </c>
      <c r="AG54" s="123">
        <f>MAX(AG50:AG53)-MIN(AG50:AG53)+1</f>
        <v>1</v>
      </c>
      <c r="AH54" s="123">
        <f>MAX(AH50:AH53)-MIN(AH50:AH53)+1</f>
        <v>4</v>
      </c>
      <c r="AI54" s="123">
        <f>MAX(AI50:AI53)+1</f>
        <v>11</v>
      </c>
      <c r="AL54" s="123">
        <f>MIN(AL50:AL53)</f>
        <v>-7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90000011.285029113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6"/>
        <v>0.91666666666666663</v>
      </c>
      <c r="E55" s="78" t="str">
        <f>AE23</f>
        <v>Scotland</v>
      </c>
      <c r="F55" s="19">
        <v>2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2"/>
        <v>Scotland_draw</v>
      </c>
      <c r="T55" s="127" t="str">
        <f t="shared" si="13"/>
        <v>Brazil_draw</v>
      </c>
      <c r="U55" s="123">
        <f t="shared" si="7"/>
        <v>0</v>
      </c>
      <c r="V55" s="123">
        <f t="shared" si="14"/>
        <v>0</v>
      </c>
      <c r="W55" s="123">
        <f t="shared" si="15"/>
        <v>0</v>
      </c>
      <c r="X55" s="123">
        <f t="shared" si="8"/>
        <v>0</v>
      </c>
      <c r="Y55" s="123">
        <f t="shared" si="9"/>
        <v>0</v>
      </c>
      <c r="Z55" s="123">
        <f t="shared" si="10"/>
        <v>0</v>
      </c>
      <c r="AA55" s="123">
        <f t="shared" si="11"/>
        <v>0</v>
      </c>
      <c r="AB55" s="123">
        <f t="shared" si="16"/>
        <v>0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>
        <v>2</v>
      </c>
      <c r="CJ55" s="25">
        <v>8</v>
      </c>
      <c r="CK55" s="116">
        <f>IF(OR(CH55="",CH56="",AND(CI55="",CI56&lt;&gt;""),AND(CI56="",CI55&lt;&gt;""),AND(CJ55="",CJ56&lt;&gt;""),AND(CJ56="",CJ55&lt;&gt;"")),"",CH55*1000+CI55*10+CJ55)</f>
        <v>1028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6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2"/>
        <v>Morocco_win</v>
      </c>
      <c r="T56" s="127" t="str">
        <f t="shared" si="13"/>
        <v>Haiti_lose</v>
      </c>
      <c r="U56" s="123">
        <f t="shared" si="7"/>
        <v>0</v>
      </c>
      <c r="V56" s="123">
        <f t="shared" si="14"/>
        <v>0</v>
      </c>
      <c r="W56" s="123">
        <f t="shared" si="15"/>
        <v>0</v>
      </c>
      <c r="X56" s="123">
        <f t="shared" si="8"/>
        <v>0</v>
      </c>
      <c r="Y56" s="123">
        <f t="shared" si="9"/>
        <v>0</v>
      </c>
      <c r="Z56" s="123">
        <f t="shared" si="10"/>
        <v>0</v>
      </c>
      <c r="AA56" s="123">
        <f t="shared" si="11"/>
        <v>0</v>
      </c>
      <c r="AB56" s="123">
        <f t="shared" si="16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1</v>
      </c>
      <c r="AL56" s="123">
        <f>AI56-AJ56</f>
        <v>7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90000010.175541833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>
        <v>2</v>
      </c>
      <c r="CJ56" s="27">
        <v>9</v>
      </c>
      <c r="CK56" s="112">
        <f>IF(CK55="","",CH56*1000+CI56*10+CJ56)</f>
        <v>1029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6"/>
        <v>0.79166666666666663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8 - 1</v>
      </c>
      <c r="P57" s="32">
        <f>L57*3+M57</f>
        <v>9</v>
      </c>
      <c r="R57" s="123">
        <f>DATE(2026,6,24)+TIME(8,0,0)+gmt_delta</f>
        <v>46197.791666666672</v>
      </c>
      <c r="S57" s="127" t="str">
        <f t="shared" si="12"/>
        <v>Switzerland_win</v>
      </c>
      <c r="T57" s="127" t="str">
        <f t="shared" si="13"/>
        <v>Canada_lose</v>
      </c>
      <c r="U57" s="123">
        <f t="shared" si="7"/>
        <v>0</v>
      </c>
      <c r="V57" s="123">
        <f t="shared" si="14"/>
        <v>0</v>
      </c>
      <c r="W57" s="123">
        <f t="shared" si="15"/>
        <v>0</v>
      </c>
      <c r="X57" s="123">
        <f t="shared" si="8"/>
        <v>0</v>
      </c>
      <c r="Y57" s="123">
        <f t="shared" si="9"/>
        <v>0</v>
      </c>
      <c r="Z57" s="123">
        <f t="shared" si="10"/>
        <v>0</v>
      </c>
      <c r="AA57" s="123">
        <f t="shared" si="11"/>
        <v>0</v>
      </c>
      <c r="AB57" s="123">
        <f t="shared" si="16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6</v>
      </c>
      <c r="AL57" s="123">
        <f>AI57-AJ57</f>
        <v>-2</v>
      </c>
      <c r="AM57" s="123">
        <f>AL57-AL60</f>
        <v>4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30000003.302431796</v>
      </c>
      <c r="AQ57" s="126">
        <f>VLOOKUP(AE57,db_fifarank,2,FALSE)</f>
        <v>1688.99</v>
      </c>
      <c r="AR57" s="125">
        <f>AP57/AP60</f>
        <v>0.33333332863612486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6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3 - 2</v>
      </c>
      <c r="P58" s="34">
        <f>L58*3+M58</f>
        <v>6</v>
      </c>
      <c r="R58" s="123">
        <f>DATE(2026,6,24)+TIME(8,0,0)+gmt_delta</f>
        <v>46197.791666666672</v>
      </c>
      <c r="S58" s="127" t="str">
        <f t="shared" si="12"/>
        <v>Bosnia and Herzegovina_win</v>
      </c>
      <c r="T58" s="127" t="str">
        <f t="shared" si="13"/>
        <v>Qatar_lose</v>
      </c>
      <c r="U58" s="123">
        <f t="shared" si="7"/>
        <v>0</v>
      </c>
      <c r="V58" s="123">
        <f t="shared" si="14"/>
        <v>0</v>
      </c>
      <c r="W58" s="123">
        <f t="shared" si="15"/>
        <v>0</v>
      </c>
      <c r="X58" s="123">
        <f t="shared" si="8"/>
        <v>0</v>
      </c>
      <c r="Y58" s="123">
        <f t="shared" si="9"/>
        <v>0</v>
      </c>
      <c r="Z58" s="123">
        <f t="shared" si="10"/>
        <v>0</v>
      </c>
      <c r="AA58" s="123">
        <f t="shared" si="11"/>
        <v>0</v>
      </c>
      <c r="AB58" s="123">
        <f t="shared" si="16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6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8.0396656683597791E-12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>IF(SUM(BB58:BF58)=0,0,BB58/$BB$60*1000+BC58/$BC$60*100+BG58/$BG$60*10+BD58/$BD$60)</f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6"/>
        <v>4.1666666666666664E-2</v>
      </c>
      <c r="E59" s="78" t="str">
        <f>AE11</f>
        <v>Czech Republic</v>
      </c>
      <c r="F59" s="19">
        <v>0</v>
      </c>
      <c r="G59" s="20">
        <v>0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4 - 6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2"/>
        <v>Czech Republic_draw</v>
      </c>
      <c r="T59" s="127" t="str">
        <f t="shared" si="13"/>
        <v>Mexico_draw</v>
      </c>
      <c r="U59" s="123">
        <f t="shared" si="7"/>
        <v>0</v>
      </c>
      <c r="V59" s="123">
        <f t="shared" si="14"/>
        <v>0</v>
      </c>
      <c r="W59" s="123">
        <f t="shared" si="15"/>
        <v>0</v>
      </c>
      <c r="X59" s="123">
        <f t="shared" si="8"/>
        <v>0</v>
      </c>
      <c r="Y59" s="123">
        <f t="shared" si="9"/>
        <v>0</v>
      </c>
      <c r="Z59" s="123">
        <f t="shared" si="10"/>
        <v>0</v>
      </c>
      <c r="AA59" s="123">
        <f t="shared" si="11"/>
        <v>0</v>
      </c>
      <c r="AB59" s="123">
        <f t="shared" si="16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2</v>
      </c>
      <c r="AL59" s="123">
        <f>AI59-AJ59</f>
        <v>1</v>
      </c>
      <c r="AM59" s="123">
        <f>AL59-AL60</f>
        <v>7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60000005.334108807</v>
      </c>
      <c r="AQ59" s="126">
        <f>VLOOKUP(AE59,db_fifarank,2,FALSE)</f>
        <v>1550.94</v>
      </c>
      <c r="AR59" s="125">
        <f>AP59/AP60</f>
        <v>0.66666664315275381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>IF(SUM(BB59:BF59)=0,0,BB59/$BB$60*1000+BC59/$BC$60*100+BG59/$BG$60*10+BD59/$BD$60)</f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6"/>
        <v>4.1666666666666664E-2</v>
      </c>
      <c r="E60" s="78" t="str">
        <f>AE9</f>
        <v>South Africa</v>
      </c>
      <c r="F60" s="19">
        <v>2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0 - 6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2"/>
        <v>South Africa_lose</v>
      </c>
      <c r="T60" s="127" t="str">
        <f t="shared" si="13"/>
        <v>Korea Republic_win</v>
      </c>
      <c r="U60" s="123">
        <f t="shared" si="7"/>
        <v>0</v>
      </c>
      <c r="V60" s="123">
        <f t="shared" si="14"/>
        <v>0</v>
      </c>
      <c r="W60" s="123">
        <f t="shared" si="15"/>
        <v>0</v>
      </c>
      <c r="X60" s="123">
        <f t="shared" si="8"/>
        <v>0</v>
      </c>
      <c r="Y60" s="123">
        <f t="shared" si="9"/>
        <v>0</v>
      </c>
      <c r="Z60" s="123">
        <f t="shared" si="10"/>
        <v>0</v>
      </c>
      <c r="AA60" s="123">
        <f t="shared" si="11"/>
        <v>0</v>
      </c>
      <c r="AB60" s="123">
        <f t="shared" si="16"/>
        <v>-1</v>
      </c>
      <c r="AF60" s="123">
        <f>MAX(AF56:AF59)-MIN(AF56:AF59)+1</f>
        <v>4</v>
      </c>
      <c r="AG60" s="123">
        <f>MAX(AG56:AG59)-MIN(AG56:AG59)+1</f>
        <v>1</v>
      </c>
      <c r="AH60" s="123">
        <f>MAX(AH56:AH59)-MIN(AH56:AH59)+1</f>
        <v>4</v>
      </c>
      <c r="AI60" s="123">
        <f>MAX(AI56:AI59)+1</f>
        <v>9</v>
      </c>
      <c r="AL60" s="123">
        <f>MIN(AL56:AL59)</f>
        <v>-6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90000011.175541833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6"/>
        <v>0.83333333333333337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2"/>
        <v>Curaçao_draw</v>
      </c>
      <c r="T61" s="127" t="str">
        <f t="shared" si="13"/>
        <v>Ivory Coast_draw</v>
      </c>
      <c r="U61" s="123">
        <f t="shared" si="7"/>
        <v>1</v>
      </c>
      <c r="V61" s="123">
        <f t="shared" si="14"/>
        <v>1</v>
      </c>
      <c r="W61" s="123">
        <f t="shared" si="15"/>
        <v>1</v>
      </c>
      <c r="X61" s="123">
        <f t="shared" si="8"/>
        <v>1</v>
      </c>
      <c r="Y61" s="123">
        <f t="shared" si="9"/>
        <v>1</v>
      </c>
      <c r="Z61" s="123">
        <f t="shared" si="10"/>
        <v>1</v>
      </c>
      <c r="AA61" s="123">
        <f t="shared" si="11"/>
        <v>0</v>
      </c>
      <c r="AB61" s="123">
        <f t="shared" si="16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6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2"/>
        <v>Ecuador_lose</v>
      </c>
      <c r="T62" s="127" t="str">
        <f t="shared" si="13"/>
        <v>Germany_win</v>
      </c>
      <c r="U62" s="123">
        <f t="shared" si="7"/>
        <v>0</v>
      </c>
      <c r="V62" s="123">
        <f t="shared" si="14"/>
        <v>0</v>
      </c>
      <c r="W62" s="123">
        <f t="shared" si="15"/>
        <v>0</v>
      </c>
      <c r="X62" s="123">
        <f t="shared" si="8"/>
        <v>0</v>
      </c>
      <c r="Y62" s="123">
        <f t="shared" si="9"/>
        <v>0</v>
      </c>
      <c r="Z62" s="123">
        <f t="shared" si="10"/>
        <v>0</v>
      </c>
      <c r="AA62" s="123">
        <f t="shared" si="11"/>
        <v>0</v>
      </c>
      <c r="AB62" s="123">
        <f t="shared" si="16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10</v>
      </c>
      <c r="AJ62" s="123">
        <f>SUMIF($E$7:$E$78,$AE62,$G$7:$G$78) + SUMIF($H$7:$H$78,$AE62,$F$7:$F$78)</f>
        <v>2</v>
      </c>
      <c r="AL62" s="123">
        <f>AI62-AJ62</f>
        <v>8</v>
      </c>
      <c r="AM62" s="123">
        <f>AL62-AL66</f>
        <v>15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90000010.285028324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0</v>
      </c>
      <c r="BN62" s="63">
        <v>0</v>
      </c>
      <c r="BO62" s="25">
        <v>3</v>
      </c>
      <c r="BP62" s="116">
        <f>IF(OR(BM62="",BM63="",AND(BN62="",BN63&lt;&gt;""),AND(BN63="",BN62&lt;&gt;""),AND(BO62="",BO63&lt;&gt;""),AND(BO63="",BO62&lt;&gt;"")),"",BM62*1000+BN62*10+BO62)</f>
        <v>3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6"/>
        <v>0.95833333333333337</v>
      </c>
      <c r="E63" s="78" t="str">
        <f>AE39</f>
        <v>Japan</v>
      </c>
      <c r="F63" s="19">
        <v>0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10 - 2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2"/>
        <v>Japan_draw</v>
      </c>
      <c r="T63" s="127" t="str">
        <f t="shared" si="13"/>
        <v>Sweden_draw</v>
      </c>
      <c r="U63" s="123">
        <f t="shared" si="7"/>
        <v>0</v>
      </c>
      <c r="V63" s="123">
        <f t="shared" si="14"/>
        <v>0</v>
      </c>
      <c r="W63" s="123">
        <f t="shared" si="15"/>
        <v>0</v>
      </c>
      <c r="X63" s="123">
        <f t="shared" si="8"/>
        <v>0</v>
      </c>
      <c r="Y63" s="123">
        <f t="shared" si="9"/>
        <v>0</v>
      </c>
      <c r="Z63" s="123">
        <f t="shared" si="10"/>
        <v>0</v>
      </c>
      <c r="AA63" s="123">
        <f t="shared" si="11"/>
        <v>0</v>
      </c>
      <c r="AB63" s="123">
        <f t="shared" si="16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5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20000003.307600312</v>
      </c>
      <c r="AQ63" s="126">
        <f>VLOOKUP(AE63,db_fifarank,2,FALSE)</f>
        <v>1564.26</v>
      </c>
      <c r="AR63" s="125">
        <f>AP63/AP66</f>
        <v>0.22222223110906822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>
        <v>0</v>
      </c>
      <c r="BO63" s="27">
        <v>1</v>
      </c>
      <c r="BP63" s="112">
        <f>IF(BP62="","",BM63*1000+BN63*10+BO63)</f>
        <v>1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6"/>
        <v>0.95833333333333337</v>
      </c>
      <c r="E64" s="78" t="str">
        <f>AE41</f>
        <v>Tunisia</v>
      </c>
      <c r="F64" s="19">
        <v>0</v>
      </c>
      <c r="G64" s="20">
        <v>4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2"/>
        <v>Tunisia_lose</v>
      </c>
      <c r="T64" s="127" t="str">
        <f t="shared" si="13"/>
        <v>Netherlands_win</v>
      </c>
      <c r="U64" s="123">
        <f t="shared" si="7"/>
        <v>0</v>
      </c>
      <c r="V64" s="123">
        <f t="shared" si="14"/>
        <v>0</v>
      </c>
      <c r="W64" s="123">
        <f t="shared" si="15"/>
        <v>0</v>
      </c>
      <c r="X64" s="123">
        <f t="shared" si="8"/>
        <v>0</v>
      </c>
      <c r="Y64" s="123">
        <f t="shared" si="9"/>
        <v>0</v>
      </c>
      <c r="Z64" s="123">
        <f t="shared" si="10"/>
        <v>0</v>
      </c>
      <c r="AA64" s="123">
        <f t="shared" si="11"/>
        <v>0</v>
      </c>
      <c r="AB64" s="123">
        <f t="shared" si="16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8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40000005.364433095</v>
      </c>
      <c r="AQ64" s="126">
        <f>VLOOKUP(AE64,db_fifarank,2,FALSE)</f>
        <v>1593.45</v>
      </c>
      <c r="AR64" s="125">
        <f>AP64/AP66</f>
        <v>0.44444444832072122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6"/>
        <v>8.3333333333333329E-2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2"/>
        <v>Turkey_win</v>
      </c>
      <c r="T65" s="127" t="str">
        <f t="shared" si="13"/>
        <v>United States_lose</v>
      </c>
      <c r="U65" s="123">
        <f t="shared" si="7"/>
        <v>0</v>
      </c>
      <c r="V65" s="123">
        <f t="shared" si="14"/>
        <v>0</v>
      </c>
      <c r="W65" s="123">
        <f t="shared" si="15"/>
        <v>0</v>
      </c>
      <c r="X65" s="123">
        <f t="shared" si="8"/>
        <v>0</v>
      </c>
      <c r="Y65" s="123">
        <f t="shared" si="9"/>
        <v>0</v>
      </c>
      <c r="Z65" s="123">
        <f t="shared" si="10"/>
        <v>0</v>
      </c>
      <c r="AA65" s="123">
        <f t="shared" si="11"/>
        <v>0</v>
      </c>
      <c r="AB65" s="123">
        <f t="shared" si="16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10000000.000695726</v>
      </c>
      <c r="AQ65" s="126">
        <f>VLOOKUP(AE65,db_fifarank,2,FALSE)</f>
        <v>1391.45</v>
      </c>
      <c r="AR65" s="125">
        <f>AP65/AP66</f>
        <v>0.11111109718670942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6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0 - 7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2"/>
        <v>Paraguay_win</v>
      </c>
      <c r="T66" s="127" t="str">
        <f t="shared" si="13"/>
        <v>Australia_lose</v>
      </c>
      <c r="U66" s="123">
        <f t="shared" si="7"/>
        <v>1</v>
      </c>
      <c r="V66" s="123">
        <f t="shared" si="14"/>
        <v>1</v>
      </c>
      <c r="W66" s="123">
        <f t="shared" si="15"/>
        <v>0</v>
      </c>
      <c r="X66" s="123">
        <f t="shared" si="8"/>
        <v>0</v>
      </c>
      <c r="Y66" s="123">
        <f t="shared" si="9"/>
        <v>0</v>
      </c>
      <c r="Z66" s="123">
        <f t="shared" si="10"/>
        <v>0</v>
      </c>
      <c r="AA66" s="123">
        <f t="shared" si="11"/>
        <v>0</v>
      </c>
      <c r="AB66" s="123">
        <f t="shared" si="16"/>
        <v>1</v>
      </c>
      <c r="AF66" s="123">
        <f>MAX(AF62:AF65)-MIN(AF62:AF65)+1</f>
        <v>4</v>
      </c>
      <c r="AG66" s="123">
        <f>MAX(AG62:AG65)-MIN(AG62:AG65)+1</f>
        <v>3</v>
      </c>
      <c r="AH66" s="123">
        <f>MAX(AH62:AH65)-MIN(AH62:AH65)+1</f>
        <v>3</v>
      </c>
      <c r="AI66" s="123">
        <f>MAX(AI62:AI65)+1</f>
        <v>11</v>
      </c>
      <c r="AL66" s="123">
        <f>MIN(AL62:AL65)</f>
        <v>-7</v>
      </c>
      <c r="AM66" s="123">
        <f>MAX(AM62:AM65)+1</f>
        <v>16</v>
      </c>
      <c r="AN66" s="123">
        <f>MAX(AN62:AN65)+1</f>
        <v>10</v>
      </c>
      <c r="AO66" s="123">
        <f>MAX(AO62:AO65)+1</f>
        <v>10</v>
      </c>
      <c r="AP66" s="123">
        <f>MAX(AP62:AP65)+1</f>
        <v>90000011.285028324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Bosnia and Herzegovina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6"/>
        <v>0.79166666666666663</v>
      </c>
      <c r="E67" s="78" t="str">
        <f>AE59</f>
        <v>Norway</v>
      </c>
      <c r="F67" s="19">
        <v>0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2"/>
        <v>Norway_lose</v>
      </c>
      <c r="T67" s="127" t="str">
        <f t="shared" si="13"/>
        <v>France_win</v>
      </c>
      <c r="U67" s="123">
        <f t="shared" si="7"/>
        <v>0</v>
      </c>
      <c r="V67" s="123">
        <f t="shared" si="14"/>
        <v>0</v>
      </c>
      <c r="W67" s="123">
        <f t="shared" si="15"/>
        <v>0</v>
      </c>
      <c r="X67" s="123">
        <f t="shared" si="8"/>
        <v>0</v>
      </c>
      <c r="Y67" s="123">
        <f t="shared" si="9"/>
        <v>0</v>
      </c>
      <c r="Z67" s="123">
        <f t="shared" si="10"/>
        <v>0</v>
      </c>
      <c r="AA67" s="123">
        <f t="shared" si="11"/>
        <v>0</v>
      </c>
      <c r="AB67" s="123">
        <f t="shared" si="16"/>
        <v>-1</v>
      </c>
      <c r="BK67" s="13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6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2"/>
        <v>Senegal_win</v>
      </c>
      <c r="T68" s="127" t="str">
        <f t="shared" si="13"/>
        <v>Iraq_lose</v>
      </c>
      <c r="U68" s="123">
        <f t="shared" si="7"/>
        <v>0</v>
      </c>
      <c r="V68" s="123">
        <f t="shared" si="14"/>
        <v>0</v>
      </c>
      <c r="W68" s="123">
        <f t="shared" si="15"/>
        <v>0</v>
      </c>
      <c r="X68" s="123">
        <f t="shared" si="8"/>
        <v>0</v>
      </c>
      <c r="Y68" s="123">
        <f t="shared" si="9"/>
        <v>0</v>
      </c>
      <c r="Z68" s="123">
        <f t="shared" si="10"/>
        <v>0</v>
      </c>
      <c r="AA68" s="123">
        <f t="shared" si="11"/>
        <v>0</v>
      </c>
      <c r="AB68" s="123">
        <f t="shared" si="16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3</v>
      </c>
      <c r="AL68" s="123">
        <f>AI68-AJ68</f>
        <v>7</v>
      </c>
      <c r="AM68" s="123">
        <f>AL68-AL72</f>
        <v>13</v>
      </c>
      <c r="AN68" s="123">
        <f>AF68*3+AG68</f>
        <v>7</v>
      </c>
      <c r="AO68" s="123">
        <f>AN68/AN72*10+BA68</f>
        <v>9.7401639344262296</v>
      </c>
      <c r="AP68" s="123">
        <f>AO68*10000000+BI68*100+AM68/AM72*10+AI68/AI72*1++IF(AQ68=0,ROW(),AQ68)/2000000</f>
        <v>97401748.55634284</v>
      </c>
      <c r="AQ68" s="126">
        <f>VLOOKUP(AE68,db_fifarank,2,FALSE)</f>
        <v>1763.83</v>
      </c>
      <c r="AR68" s="125">
        <f>AP68/AP72</f>
        <v>0.999999989733244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100.66666666666667</v>
      </c>
      <c r="BA68" s="126">
        <f>AZ68/AZ72</f>
        <v>0.99016393442622952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100.66666666666667</v>
      </c>
      <c r="BI68" s="126">
        <f>BH68/BH72</f>
        <v>0.99016393442622952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Bosnia and Herzegovina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6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10 - 3</v>
      </c>
      <c r="P69" s="32">
        <f>L69*3+M69</f>
        <v>7</v>
      </c>
      <c r="R69" s="123">
        <f>DATE(2026,6,26)+TIME(16,0,0)+gmt_delta</f>
        <v>46200.125</v>
      </c>
      <c r="S69" s="127" t="str">
        <f t="shared" si="12"/>
        <v>Egypt_draw</v>
      </c>
      <c r="T69" s="127" t="str">
        <f t="shared" si="13"/>
        <v>Iran_draw</v>
      </c>
      <c r="U69" s="123">
        <f t="shared" si="7"/>
        <v>0</v>
      </c>
      <c r="V69" s="123">
        <f t="shared" si="14"/>
        <v>0</v>
      </c>
      <c r="W69" s="123">
        <f t="shared" si="15"/>
        <v>0</v>
      </c>
      <c r="X69" s="123">
        <f t="shared" si="8"/>
        <v>0</v>
      </c>
      <c r="Y69" s="123">
        <f t="shared" si="9"/>
        <v>0</v>
      </c>
      <c r="Z69" s="123">
        <f t="shared" si="10"/>
        <v>0</v>
      </c>
      <c r="AA69" s="123">
        <f t="shared" si="11"/>
        <v>0</v>
      </c>
      <c r="AB69" s="123">
        <f t="shared" si="16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7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2.2336065573770494</v>
      </c>
      <c r="AP69" s="123">
        <f>AO69*10000000+BI69*100+AM69/AM72*10+AI69/AI72*1++IF(AQ69=0,ROW(),AQ69)/2000000</f>
        <v>22336164.026074495</v>
      </c>
      <c r="AQ69" s="126">
        <f>VLOOKUP(AE69,db_fifarank,2,FALSE)</f>
        <v>1478.35</v>
      </c>
      <c r="AR69" s="125">
        <f>AP69/AP72</f>
        <v>0.22931994679576015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0.98360655737704916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0.98360655737704916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6"/>
        <v>0.125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7 - 3</v>
      </c>
      <c r="P70" s="34">
        <f>L70*3+M70</f>
        <v>7</v>
      </c>
      <c r="R70" s="123">
        <f>DATE(2026,6,26)+TIME(16,0,0)+gmt_delta</f>
        <v>46200.125</v>
      </c>
      <c r="S70" s="127" t="str">
        <f t="shared" si="12"/>
        <v>New Zealand_lose</v>
      </c>
      <c r="T70" s="127" t="str">
        <f t="shared" si="13"/>
        <v>Belgium_win</v>
      </c>
      <c r="U70" s="123">
        <f t="shared" si="7"/>
        <v>0</v>
      </c>
      <c r="V70" s="123">
        <f t="shared" si="14"/>
        <v>0</v>
      </c>
      <c r="W70" s="123">
        <f t="shared" si="15"/>
        <v>0</v>
      </c>
      <c r="X70" s="123">
        <f t="shared" si="8"/>
        <v>0</v>
      </c>
      <c r="Y70" s="123">
        <f t="shared" si="9"/>
        <v>0</v>
      </c>
      <c r="Z70" s="123">
        <f t="shared" si="10"/>
        <v>0</v>
      </c>
      <c r="AA70" s="123">
        <f t="shared" si="11"/>
        <v>0</v>
      </c>
      <c r="AB70" s="123">
        <f t="shared" si="16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1</v>
      </c>
      <c r="AN70" s="123">
        <f>AF70*3+AG70</f>
        <v>1</v>
      </c>
      <c r="AO70" s="123">
        <f>AN70/AN72*10+BA70</f>
        <v>2.2336065573770494</v>
      </c>
      <c r="AP70" s="123">
        <f>AO70*10000000+BI70*100+AM70/AM72*10+AI70/AI72*1++IF(AQ70=0,ROW(),AQ70)/2000000</f>
        <v>22336164.740353703</v>
      </c>
      <c r="AQ70" s="126">
        <f>VLOOKUP(AE70,db_fifarank,2,FALSE)</f>
        <v>1465.34</v>
      </c>
      <c r="AR70" s="125">
        <f>AP70/AP72</f>
        <v>0.22931995412909054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0.98360655737704916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0.98360655737704916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6"/>
        <v>0</v>
      </c>
      <c r="E71" s="78" t="str">
        <f>AE51</f>
        <v>Cape Verde</v>
      </c>
      <c r="F71" s="19">
        <v>2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</v>
      </c>
      <c r="S71" s="127" t="str">
        <f t="shared" si="12"/>
        <v>Cape Verde_win</v>
      </c>
      <c r="T71" s="127" t="str">
        <f t="shared" si="13"/>
        <v>Saudi Arabia_lose</v>
      </c>
      <c r="U71" s="123">
        <f t="shared" si="7"/>
        <v>0</v>
      </c>
      <c r="V71" s="123">
        <f t="shared" si="14"/>
        <v>0</v>
      </c>
      <c r="W71" s="123">
        <f t="shared" si="15"/>
        <v>0</v>
      </c>
      <c r="X71" s="123">
        <f t="shared" si="8"/>
        <v>0</v>
      </c>
      <c r="Y71" s="123">
        <f t="shared" si="9"/>
        <v>0</v>
      </c>
      <c r="Z71" s="123">
        <f t="shared" si="10"/>
        <v>0</v>
      </c>
      <c r="AA71" s="123">
        <f t="shared" ref="AA71:AA78" si="17">IF(OR(E71=my_team,H71=my_team),1,IF(INT(MATCH(E71,$AE$8:$AE$78,0)/6)=$AA$6,1,0))</f>
        <v>0</v>
      </c>
      <c r="AB71" s="123">
        <f t="shared" si="16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3</v>
      </c>
      <c r="AL71" s="123">
        <f>AI71-AJ71</f>
        <v>4</v>
      </c>
      <c r="AM71" s="123">
        <f>AL71-AL72</f>
        <v>10</v>
      </c>
      <c r="AN71" s="123">
        <f>AF71*3+AG71</f>
        <v>7</v>
      </c>
      <c r="AO71" s="123">
        <f>AN71/AN72*10+BA71</f>
        <v>9.7401639344262296</v>
      </c>
      <c r="AP71" s="123">
        <f>AO71*10000000+BI71*100+AM71/AM72*10+AI71/AI72*1++IF(AQ71=0,ROW(),AQ71)/2000000</f>
        <v>97401746.140723079</v>
      </c>
      <c r="AQ71" s="126">
        <f>VLOOKUP(AE71,db_fifarank,2,FALSE)</f>
        <v>1693.09</v>
      </c>
      <c r="AR71" s="125">
        <f>AP71/AP72</f>
        <v>0.99999996493266519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100.66666666666667</v>
      </c>
      <c r="BA71" s="126">
        <f>AZ71/AZ72</f>
        <v>0.99016393442622952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100.66666666666667</v>
      </c>
      <c r="BI71" s="126">
        <f>BH71/BH72</f>
        <v>0.99016393442622952</v>
      </c>
      <c r="BK71" s="132"/>
      <c r="BL71" s="26" t="str">
        <f>IF(group_round_completed,VLOOKUP('3rd places'!J3,AK80:AS91,9,FALSE),"3rd Group D/E/I/J/L")</f>
        <v>Australia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18">TIME(HOUR(R72),MINUTE(R72),0)</f>
        <v>0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1 - 7</v>
      </c>
      <c r="P72" s="37">
        <f>L72*3+M72</f>
        <v>1</v>
      </c>
      <c r="R72" s="123">
        <f>DATE(2026,6,26)+TIME(13,0,0)+gmt_delta</f>
        <v>46200</v>
      </c>
      <c r="S72" s="127" t="str">
        <f t="shared" si="12"/>
        <v>Uruguay_lose</v>
      </c>
      <c r="T72" s="127" t="str">
        <f t="shared" si="13"/>
        <v>Spain_win</v>
      </c>
      <c r="U72" s="123">
        <f t="shared" ref="U72:U78" si="19">IF(S72="",0,IF(VLOOKUP(E72,$AE$8:$AN$77,10,FALSE)=VLOOKUP(H72,$AE$8:$AN$77,10,FALSE),1,0))</f>
        <v>0</v>
      </c>
      <c r="V72" s="123">
        <f t="shared" si="14"/>
        <v>0</v>
      </c>
      <c r="W72" s="123">
        <f t="shared" si="15"/>
        <v>0</v>
      </c>
      <c r="X72" s="123">
        <f t="shared" ref="X72:X78" si="20">IF(S72="",0,IF(VLOOKUP(E72,$AE$8:$AO$77,11,FALSE)=VLOOKUP(H72,$AE$8:$AO$77,11,FALSE),1,0))</f>
        <v>0</v>
      </c>
      <c r="Y72" s="123">
        <f t="shared" ref="Y72:Y78" si="21">X72*F72</f>
        <v>0</v>
      </c>
      <c r="Z72" s="123">
        <f t="shared" ref="Z72:Z78" si="22">X72*G72</f>
        <v>0</v>
      </c>
      <c r="AA72" s="123">
        <f t="shared" si="17"/>
        <v>0</v>
      </c>
      <c r="AB72" s="123">
        <f t="shared" si="16"/>
        <v>-1</v>
      </c>
      <c r="AF72" s="123">
        <f>MAX(AF68:AF71)-MIN(AF68:AF71)+1</f>
        <v>3</v>
      </c>
      <c r="AG72" s="123">
        <f>MAX(AG68:AG71)-MIN(AG68:AG71)+1</f>
        <v>1</v>
      </c>
      <c r="AH72" s="123">
        <f>MAX(AH68:AH71)-MIN(AH68:AH71)+1</f>
        <v>3</v>
      </c>
      <c r="AI72" s="123">
        <f>MAX(AI68:AI71)+1</f>
        <v>11</v>
      </c>
      <c r="AL72" s="123">
        <f>MIN(AL68:AL71)</f>
        <v>-6</v>
      </c>
      <c r="AM72" s="123">
        <f>MAX(AM68:AM71)+1</f>
        <v>14</v>
      </c>
      <c r="AN72" s="123">
        <f>MAX(AN68:AN71)+1</f>
        <v>8</v>
      </c>
      <c r="AO72" s="123">
        <f>MAX(AO68:AO71)+1</f>
        <v>10.74016393442623</v>
      </c>
      <c r="AP72" s="123">
        <f>MAX(AP68:AP71)+1</f>
        <v>97401749.55634284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101.66666666666667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101.66666666666667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18"/>
        <v>0.875</v>
      </c>
      <c r="E73" s="78" t="str">
        <f>AE77</f>
        <v>Panama</v>
      </c>
      <c r="F73" s="19">
        <v>0</v>
      </c>
      <c r="G73" s="20">
        <v>5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2"/>
        <v>Panama_lose</v>
      </c>
      <c r="T73" s="127" t="str">
        <f t="shared" si="13"/>
        <v>England_win</v>
      </c>
      <c r="U73" s="123">
        <f t="shared" si="19"/>
        <v>0</v>
      </c>
      <c r="V73" s="123">
        <f t="shared" si="14"/>
        <v>0</v>
      </c>
      <c r="W73" s="123">
        <f t="shared" si="15"/>
        <v>0</v>
      </c>
      <c r="X73" s="123">
        <f t="shared" si="20"/>
        <v>0</v>
      </c>
      <c r="Y73" s="123">
        <f t="shared" si="21"/>
        <v>0</v>
      </c>
      <c r="Z73" s="123">
        <f t="shared" si="22"/>
        <v>0</v>
      </c>
      <c r="AA73" s="123">
        <f t="shared" si="17"/>
        <v>0</v>
      </c>
      <c r="AB73" s="123">
        <f t="shared" si="16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18"/>
        <v>0.875</v>
      </c>
      <c r="E74" s="78" t="str">
        <f>AE75</f>
        <v>Croatia</v>
      </c>
      <c r="F74" s="19">
        <v>3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2"/>
        <v>Croatia_win</v>
      </c>
      <c r="T74" s="127" t="str">
        <f t="shared" si="13"/>
        <v>Ghana_lose</v>
      </c>
      <c r="U74" s="123">
        <f t="shared" si="19"/>
        <v>0</v>
      </c>
      <c r="V74" s="123">
        <f t="shared" si="14"/>
        <v>0</v>
      </c>
      <c r="W74" s="123">
        <f t="shared" si="15"/>
        <v>0</v>
      </c>
      <c r="X74" s="123">
        <f t="shared" si="20"/>
        <v>0</v>
      </c>
      <c r="Y74" s="123">
        <f t="shared" si="21"/>
        <v>0</v>
      </c>
      <c r="Z74" s="123">
        <f t="shared" si="22"/>
        <v>0</v>
      </c>
      <c r="AA74" s="123">
        <f t="shared" si="17"/>
        <v>0</v>
      </c>
      <c r="AB74" s="123">
        <f t="shared" si="16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11</v>
      </c>
      <c r="AJ74" s="123">
        <f>SUMIF($E$7:$E$78,$AE74,$G$7:$G$78) + SUMIF($H$7:$H$78,$AE74,$F$7:$F$78)</f>
        <v>3</v>
      </c>
      <c r="AL74" s="123">
        <f>AI74-AJ74</f>
        <v>8</v>
      </c>
      <c r="AM74" s="123">
        <f>AL74-AL78</f>
        <v>15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90000010.292579651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18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11 - 3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2"/>
        <v>Algeria_draw</v>
      </c>
      <c r="T75" s="127" t="str">
        <f t="shared" si="13"/>
        <v>Austria_draw</v>
      </c>
      <c r="U75" s="123">
        <f t="shared" si="19"/>
        <v>0</v>
      </c>
      <c r="V75" s="123">
        <f t="shared" si="14"/>
        <v>0</v>
      </c>
      <c r="W75" s="123">
        <f t="shared" si="15"/>
        <v>0</v>
      </c>
      <c r="X75" s="123">
        <f t="shared" si="20"/>
        <v>0</v>
      </c>
      <c r="Y75" s="123">
        <f t="shared" si="21"/>
        <v>0</v>
      </c>
      <c r="Z75" s="123">
        <f t="shared" si="22"/>
        <v>0</v>
      </c>
      <c r="AA75" s="123">
        <f t="shared" si="17"/>
        <v>1</v>
      </c>
      <c r="AB75" s="123">
        <f t="shared" si="16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4</v>
      </c>
      <c r="AL75" s="123">
        <f>AI75-AJ75</f>
        <v>3</v>
      </c>
      <c r="AM75" s="123">
        <f>AL75-AL78</f>
        <v>10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60000006.834191874</v>
      </c>
      <c r="AQ75" s="126">
        <f>VLOOKUP(AE75,db_fifarank,2,FALSE)</f>
        <v>1717.07</v>
      </c>
      <c r="AR75" s="125">
        <f>AP75/AP78</f>
        <v>0.66666665895339472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18"/>
        <v>8.3333333333333329E-2</v>
      </c>
      <c r="E76" s="78" t="str">
        <f>AE65</f>
        <v>Jordan</v>
      </c>
      <c r="F76" s="19">
        <v>0</v>
      </c>
      <c r="G76" s="20">
        <v>5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7 - 4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2"/>
        <v>Jordan_lose</v>
      </c>
      <c r="T76" s="127" t="str">
        <f t="shared" si="13"/>
        <v>Argentina_win</v>
      </c>
      <c r="U76" s="123">
        <f t="shared" si="19"/>
        <v>0</v>
      </c>
      <c r="V76" s="123">
        <f t="shared" si="14"/>
        <v>0</v>
      </c>
      <c r="W76" s="123">
        <f t="shared" si="15"/>
        <v>0</v>
      </c>
      <c r="X76" s="123">
        <f t="shared" si="20"/>
        <v>0</v>
      </c>
      <c r="Y76" s="123">
        <f t="shared" si="21"/>
        <v>0</v>
      </c>
      <c r="Z76" s="123">
        <f t="shared" si="22"/>
        <v>0</v>
      </c>
      <c r="AA76" s="123">
        <f t="shared" si="17"/>
        <v>0</v>
      </c>
      <c r="AB76" s="123">
        <f t="shared" si="16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9</v>
      </c>
      <c r="AL76" s="123">
        <f>AI76-AJ76</f>
        <v>-4</v>
      </c>
      <c r="AM76" s="123">
        <f>AL76-AL78</f>
        <v>3</v>
      </c>
      <c r="AN76" s="123">
        <f>AF76*3+AG76</f>
        <v>1</v>
      </c>
      <c r="AO76" s="123">
        <f>AN76/AN78*10+BA76</f>
        <v>1.9806763285024154</v>
      </c>
      <c r="AP76" s="123">
        <f>AO76*10000000+BI76*100+AM76/AM78*10+AI76/AI78*1++IF(AQ76=0,ROW(),AQ76)/2000000</f>
        <v>19806863.644996829</v>
      </c>
      <c r="AQ76" s="126">
        <f>VLOOKUP(AE76,db_fifarank,2,FALSE)</f>
        <v>1346.31</v>
      </c>
      <c r="AR76" s="125">
        <f>AP76/AP78</f>
        <v>0.22007623510853794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3</v>
      </c>
      <c r="AW76" s="126" cm="1">
        <f t="array" ref="AW76">SUMPRODUCT(($E$7:$E$78=AE76)*($U$7:$U$78)*($G$7:$G$78))+SUMPRODUCT(($H$7:$H$78=AE76)*($U$7:$U$78)*($F$7:$F$78))</f>
        <v>3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50.75</v>
      </c>
      <c r="BA76" s="126">
        <f>AZ76/AZ78</f>
        <v>0.98067632850241548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3</v>
      </c>
      <c r="BE76" s="126" cm="1">
        <f t="array" ref="BE76">SUMPRODUCT(($E$7:$E$78=AE76)*($X$7:$X$78)*($G$7:$G$78))+SUMPRODUCT(($H$7:$H$78=AE76)*($X$7:$X$78)*($F$7:$F$78))</f>
        <v>3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50.75</v>
      </c>
      <c r="BI76" s="126">
        <f>BH76/BH78</f>
        <v>0.98067632850241548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18"/>
        <v>0.97916666666666663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5 - 9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2"/>
        <v>Colombia_draw</v>
      </c>
      <c r="T77" s="127" t="str">
        <f t="shared" si="13"/>
        <v>Portugal_draw</v>
      </c>
      <c r="U77" s="123">
        <f t="shared" si="19"/>
        <v>1</v>
      </c>
      <c r="V77" s="123">
        <f t="shared" si="14"/>
        <v>2</v>
      </c>
      <c r="W77" s="123">
        <f t="shared" si="15"/>
        <v>2</v>
      </c>
      <c r="X77" s="123">
        <f t="shared" si="20"/>
        <v>1</v>
      </c>
      <c r="Y77" s="123">
        <f t="shared" si="21"/>
        <v>2</v>
      </c>
      <c r="Z77" s="123">
        <f t="shared" si="22"/>
        <v>2</v>
      </c>
      <c r="AA77" s="123">
        <f t="shared" si="17"/>
        <v>0</v>
      </c>
      <c r="AB77" s="123">
        <f t="shared" si="16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10</v>
      </c>
      <c r="AL77" s="123">
        <f>AI77-AJ77</f>
        <v>-7</v>
      </c>
      <c r="AM77" s="123">
        <f>AL77-AL78</f>
        <v>0</v>
      </c>
      <c r="AN77" s="123">
        <f>AF77*3+AG77</f>
        <v>1</v>
      </c>
      <c r="AO77" s="123">
        <f>AN77/AN78*10+BA77</f>
        <v>1.9806763285024154</v>
      </c>
      <c r="AP77" s="123">
        <f>AO77*10000000+BI77*100+AM77/AM78*10+AI77/AI78*1++IF(AQ77=0,ROW(),AQ77)/2000000</f>
        <v>19806861.603427324</v>
      </c>
      <c r="AQ77" s="126">
        <f>VLOOKUP(AE77,db_fifarank,2,FALSE)</f>
        <v>1540.64</v>
      </c>
      <c r="AR77" s="125">
        <f>AP77/AP78</f>
        <v>0.22007621242443517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3</v>
      </c>
      <c r="AW77" s="126" cm="1">
        <f t="array" ref="AW77">SUMPRODUCT(($E$7:$E$78=AE77)*($U$7:$U$78)*($G$7:$G$78))+SUMPRODUCT(($H$7:$H$78=AE77)*($U$7:$U$78)*($F$7:$F$78))</f>
        <v>3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50.75</v>
      </c>
      <c r="BA77" s="126">
        <f>AZ77/AZ78</f>
        <v>0.98067632850241548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3</v>
      </c>
      <c r="BE77" s="126" cm="1">
        <f t="array" ref="BE77">SUMPRODUCT(($E$7:$E$78=AE77)*($X$7:$X$78)*($G$7:$G$78))+SUMPRODUCT(($H$7:$H$78=AE77)*($X$7:$X$78)*($F$7:$F$78))</f>
        <v>3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50.75</v>
      </c>
      <c r="BI77" s="126">
        <f>BH77/BH78</f>
        <v>0.98067632850241548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18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3 - 10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2"/>
        <v>DR Congo_draw</v>
      </c>
      <c r="T78" s="127" t="str">
        <f t="shared" si="13"/>
        <v>Uzbekistan_draw</v>
      </c>
      <c r="U78" s="123">
        <f t="shared" si="19"/>
        <v>1</v>
      </c>
      <c r="V78" s="123">
        <f t="shared" si="14"/>
        <v>0</v>
      </c>
      <c r="W78" s="123">
        <f t="shared" si="15"/>
        <v>0</v>
      </c>
      <c r="X78" s="123">
        <f t="shared" si="20"/>
        <v>1</v>
      </c>
      <c r="Y78" s="123">
        <f t="shared" si="21"/>
        <v>0</v>
      </c>
      <c r="Z78" s="123">
        <f t="shared" si="22"/>
        <v>0</v>
      </c>
      <c r="AA78" s="123">
        <f t="shared" si="17"/>
        <v>0</v>
      </c>
      <c r="AB78" s="123">
        <f t="shared" si="16"/>
        <v>0</v>
      </c>
      <c r="AF78" s="123">
        <f>MAX(AF74:AF77)-MIN(AF74:AF77)+1</f>
        <v>4</v>
      </c>
      <c r="AG78" s="123">
        <f>MAX(AG74:AG77)-MIN(AG74:AG77)+1</f>
        <v>2</v>
      </c>
      <c r="AH78" s="123">
        <f>MAX(AH74:AH77)-MIN(AH74:AH77)+1</f>
        <v>3</v>
      </c>
      <c r="AI78" s="123">
        <f>MAX(AI74:AI77)+1</f>
        <v>12</v>
      </c>
      <c r="AL78" s="123">
        <f>MIN(AL74:AL77)</f>
        <v>-7</v>
      </c>
      <c r="AM78" s="123">
        <f>MAX(AM74:AM77)+1</f>
        <v>16</v>
      </c>
      <c r="AN78" s="123">
        <f>MAX(AN74:AN77)+1</f>
        <v>10</v>
      </c>
      <c r="AO78" s="123">
        <f>MAX(AO74:AO77)+1</f>
        <v>10</v>
      </c>
      <c r="AP78" s="123">
        <f>MAX(AP74:AP77)+1</f>
        <v>90000011.292579651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4</v>
      </c>
      <c r="AW78" s="126">
        <f>MAX(AW74:AW77)-MIN(AW74:AW77)+1</f>
        <v>4</v>
      </c>
      <c r="AY78" s="126">
        <f>MAX(AY74:AY77)-MIN(AY74:AY77)+1</f>
        <v>1</v>
      </c>
      <c r="AZ78" s="126">
        <f>MAX(AZ74:AZ77)+1</f>
        <v>51.75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4</v>
      </c>
      <c r="BE78" s="126">
        <f>MAX(BE74:BE77)-MIN(BE74:BE77)+1</f>
        <v>4</v>
      </c>
      <c r="BG78" s="126">
        <f>MAX(BG74:BG77)-MIN(BG74:BG77)+1</f>
        <v>1</v>
      </c>
      <c r="BH78" s="126">
        <f>MAX(BH74:BH77)+1</f>
        <v>51.75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Mexico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6</v>
      </c>
      <c r="AN80" s="123">
        <f>VLOOKUP($AE80,$AE$8:$AQ$78,10,FALSE)</f>
        <v>2</v>
      </c>
      <c r="AP80" s="123">
        <f>AN80/AN92*10000+AM80/AM92*1000+AI80/AI92*100+IF(AQ80=0,ROW(),AQ80)/2000000</f>
        <v>4700.0008405150002</v>
      </c>
      <c r="AQ80" s="126">
        <f t="shared" ref="AQ80:AQ91" si="23">VLOOKUP($AE80,$AE$8:$AQ$78,13,FALSE)</f>
        <v>1681.03</v>
      </c>
      <c r="AR80" s="125" t="str">
        <f>IF(AD80&lt;=8,RIGHT(AK80,1),"")</f>
        <v>A</v>
      </c>
      <c r="AS80" s="129" t="str">
        <f>IF(AD80&lt;=8,AE80,"")</f>
        <v>Mexico</v>
      </c>
      <c r="AT80" s="130" t="str">
        <f>"Ⓐ "&amp;AE80</f>
        <v>Ⓐ Mexico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Morocco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>L81*3+M81</f>
        <v>4</v>
      </c>
      <c r="AD81" s="123">
        <f t="shared" ref="AD81:AD91" si="24">COUNTIF($AP$80:$AP$91,CONCATENATE("&gt;=",AP81))</f>
        <v>7</v>
      </c>
      <c r="AE81" s="124" t="str">
        <f>J17</f>
        <v>Canada</v>
      </c>
      <c r="AF81" s="123">
        <f t="shared" ref="AF81:AF91" si="25">VLOOKUP($AE81,$AE$8:$AQ$78,2,FALSE)</f>
        <v>0</v>
      </c>
      <c r="AG81" s="123">
        <f>VLOOKUP($AE81,$AE$8:$AQ$78,3,FALSE)</f>
        <v>2</v>
      </c>
      <c r="AH81" s="123">
        <f t="shared" ref="AH81:AH90" si="26">VLOOKUP($AE81,$AE$8:$AQ$78,4,FALSE)</f>
        <v>1</v>
      </c>
      <c r="AI81" s="123">
        <f t="shared" ref="AI81:AI90" si="27">VLOOKUP($AE81,$AE$8:$AQ$78,5,FALSE)</f>
        <v>1</v>
      </c>
      <c r="AJ81" s="123">
        <f t="shared" ref="AJ81:AJ90" si="28">VLOOKUP($AE81,$AE$8:$AQ$78,6,FALSE)</f>
        <v>2</v>
      </c>
      <c r="AK81" s="123" t="s">
        <v>3181</v>
      </c>
      <c r="AL81" s="123">
        <f t="shared" ref="AL81:AL90" si="29">VLOOKUP($AE81,$AE$8:$AQ$78,8,FALSE)</f>
        <v>-1</v>
      </c>
      <c r="AM81" s="123">
        <f t="shared" ref="AM81:AM91" si="30">AL81-$AL$92</f>
        <v>6</v>
      </c>
      <c r="AN81" s="123">
        <f t="shared" ref="AN81:AN90" si="31">VLOOKUP($AE81,$AE$8:$AQ$78,10,FALSE)</f>
        <v>2</v>
      </c>
      <c r="AP81" s="123">
        <f>AN81/AN92*10000+AM81/AM92*1000+AI81/AI92*100+IF(AQ81=0,ROW(),AQ81)/2000000</f>
        <v>4683.3341115733338</v>
      </c>
      <c r="AQ81" s="126">
        <f t="shared" si="23"/>
        <v>1556.48</v>
      </c>
      <c r="AR81" s="125" t="str">
        <f>AR80&amp;IF(AD81&lt;=8,RIGHT(AK81,1),"")</f>
        <v>AB</v>
      </c>
      <c r="AS81" s="129" t="str">
        <f t="shared" ref="AS81:AS91" si="32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Australia</v>
      </c>
      <c r="K82" s="100">
        <f t="shared" ref="K82:K92" si="33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34">L82*3+M82</f>
        <v>4</v>
      </c>
      <c r="AD82" s="123">
        <f t="shared" si="24"/>
        <v>1</v>
      </c>
      <c r="AE82" s="124" t="str">
        <f>J23</f>
        <v>Morocco</v>
      </c>
      <c r="AF82" s="123">
        <f t="shared" si="25"/>
        <v>1</v>
      </c>
      <c r="AG82" s="123">
        <f t="shared" ref="AG82:AG91" si="35">VLOOKUP($AE82,$AE$8:$AQ$78,3,FALSE)</f>
        <v>1</v>
      </c>
      <c r="AH82" s="123">
        <f t="shared" si="26"/>
        <v>1</v>
      </c>
      <c r="AI82" s="123">
        <f t="shared" si="27"/>
        <v>5</v>
      </c>
      <c r="AJ82" s="123">
        <f t="shared" si="28"/>
        <v>4</v>
      </c>
      <c r="AK82" s="123" t="s">
        <v>3182</v>
      </c>
      <c r="AL82" s="123">
        <f t="shared" si="29"/>
        <v>1</v>
      </c>
      <c r="AM82" s="123">
        <f t="shared" si="30"/>
        <v>8</v>
      </c>
      <c r="AN82" s="123">
        <f t="shared" si="31"/>
        <v>4</v>
      </c>
      <c r="AP82" s="123">
        <f>AN82/AN92*10000+AM82/AM92*1000+AI82/AI92*100+IF(AQ82=0,ROW(),AQ82)/2000000</f>
        <v>8972.2231001572218</v>
      </c>
      <c r="AQ82" s="126">
        <f t="shared" si="23"/>
        <v>1755.87</v>
      </c>
      <c r="AR82" s="125" t="str">
        <f t="shared" ref="AR82:AR91" si="36">AR81&amp;IF(AD82&lt;=8,RIGHT(AK82,1),"")</f>
        <v>ABC</v>
      </c>
      <c r="AS82" s="129" t="str">
        <f t="shared" si="32"/>
        <v>Morocco</v>
      </c>
      <c r="AT82" s="130" t="str">
        <f>"Ⓒ "&amp;AE82</f>
        <v>Ⓒ Morocco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Ⓖ Iran</v>
      </c>
      <c r="K83" s="100">
        <f t="shared" si="33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34"/>
        <v>4</v>
      </c>
      <c r="AD83" s="123">
        <f t="shared" si="24"/>
        <v>2</v>
      </c>
      <c r="AE83" s="124" t="str">
        <f>J29</f>
        <v>Australia</v>
      </c>
      <c r="AF83" s="123">
        <f t="shared" si="25"/>
        <v>1</v>
      </c>
      <c r="AG83" s="123">
        <f t="shared" si="35"/>
        <v>1</v>
      </c>
      <c r="AH83" s="123">
        <f t="shared" si="26"/>
        <v>1</v>
      </c>
      <c r="AI83" s="123">
        <f t="shared" si="27"/>
        <v>4</v>
      </c>
      <c r="AJ83" s="123">
        <f t="shared" si="28"/>
        <v>4</v>
      </c>
      <c r="AK83" s="123" t="s">
        <v>3184</v>
      </c>
      <c r="AL83" s="123">
        <f t="shared" si="29"/>
        <v>0</v>
      </c>
      <c r="AM83" s="123">
        <f t="shared" si="30"/>
        <v>7</v>
      </c>
      <c r="AN83" s="123">
        <f t="shared" si="31"/>
        <v>4</v>
      </c>
      <c r="AP83" s="123">
        <f>AN83/AN92*10000+AM83/AM92*1000+AI83/AI92*100+IF(AQ83=0,ROW(),AQ83)/2000000</f>
        <v>8844.4452347794431</v>
      </c>
      <c r="AQ83" s="126">
        <f t="shared" si="23"/>
        <v>1580.67</v>
      </c>
      <c r="AR83" s="125" t="str">
        <f t="shared" si="36"/>
        <v>ABCD</v>
      </c>
      <c r="AS83" s="129" t="str">
        <f t="shared" si="32"/>
        <v>Australia</v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Senegal</v>
      </c>
      <c r="K84" s="100">
        <f t="shared" si="33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4 - 6</v>
      </c>
      <c r="P84" s="101">
        <f t="shared" si="34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24"/>
        <v>10</v>
      </c>
      <c r="AE84" s="124" t="str">
        <f>J35</f>
        <v>Ivory Coast</v>
      </c>
      <c r="AF84" s="123">
        <f t="shared" si="25"/>
        <v>0</v>
      </c>
      <c r="AG84" s="123">
        <f t="shared" si="35"/>
        <v>1</v>
      </c>
      <c r="AH84" s="123">
        <f t="shared" si="26"/>
        <v>2</v>
      </c>
      <c r="AI84" s="123">
        <f t="shared" si="27"/>
        <v>3</v>
      </c>
      <c r="AJ84" s="123">
        <f t="shared" si="28"/>
        <v>6</v>
      </c>
      <c r="AK84" s="123" t="s">
        <v>3185</v>
      </c>
      <c r="AL84" s="123">
        <f t="shared" si="29"/>
        <v>-3</v>
      </c>
      <c r="AM84" s="123">
        <f t="shared" si="30"/>
        <v>4</v>
      </c>
      <c r="AN84" s="123">
        <f t="shared" si="31"/>
        <v>1</v>
      </c>
      <c r="AP84" s="123">
        <f>AN84/AN92*10000+AM84/AM92*1000+AI84/AI92*100+IF(AQ84=0,ROW(),AQ84)/2000000</f>
        <v>2494.4452109344443</v>
      </c>
      <c r="AQ84" s="126">
        <f t="shared" si="23"/>
        <v>1532.98</v>
      </c>
      <c r="AR84" s="125" t="str">
        <f t="shared" si="36"/>
        <v>ABCD</v>
      </c>
      <c r="AS84" s="129" t="str">
        <f t="shared" si="32"/>
        <v/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Ⓗ Cape Verde</v>
      </c>
      <c r="K85" s="100">
        <f t="shared" si="33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2 - 9</v>
      </c>
      <c r="P85" s="101">
        <f t="shared" si="34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24"/>
        <v>8</v>
      </c>
      <c r="AE85" s="124" t="str">
        <f>J41</f>
        <v>Sweden</v>
      </c>
      <c r="AF85" s="123">
        <f t="shared" si="25"/>
        <v>0</v>
      </c>
      <c r="AG85" s="123">
        <f t="shared" si="35"/>
        <v>2</v>
      </c>
      <c r="AH85" s="123">
        <f t="shared" si="26"/>
        <v>1</v>
      </c>
      <c r="AI85" s="123">
        <f t="shared" si="27"/>
        <v>3</v>
      </c>
      <c r="AJ85" s="123">
        <f t="shared" si="28"/>
        <v>5</v>
      </c>
      <c r="AK85" s="123" t="s">
        <v>3186</v>
      </c>
      <c r="AL85" s="123">
        <f t="shared" si="29"/>
        <v>-2</v>
      </c>
      <c r="AM85" s="123">
        <f t="shared" si="30"/>
        <v>5</v>
      </c>
      <c r="AN85" s="123">
        <f t="shared" si="31"/>
        <v>2</v>
      </c>
      <c r="AP85" s="123">
        <f>AN85/AN92*10000+AM85/AM92*1000+AI85/AI92*100+IF(AQ85=0,ROW(),AQ85)/2000000</f>
        <v>4605.5563129405555</v>
      </c>
      <c r="AQ85" s="126">
        <f t="shared" si="23"/>
        <v>1514.77</v>
      </c>
      <c r="AR85" s="125" t="str">
        <f t="shared" si="36"/>
        <v>ABCDF</v>
      </c>
      <c r="AS85" s="129" t="str">
        <f t="shared" si="32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Ⓐ Mexico</v>
      </c>
      <c r="K86" s="100">
        <f t="shared" si="33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34"/>
        <v>2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24"/>
        <v>3</v>
      </c>
      <c r="AE86" s="124" t="str">
        <f>J47</f>
        <v>Iran</v>
      </c>
      <c r="AF86" s="123">
        <f t="shared" si="25"/>
        <v>1</v>
      </c>
      <c r="AG86" s="123">
        <f t="shared" si="35"/>
        <v>1</v>
      </c>
      <c r="AH86" s="123">
        <f t="shared" si="26"/>
        <v>1</v>
      </c>
      <c r="AI86" s="123">
        <f t="shared" si="27"/>
        <v>3</v>
      </c>
      <c r="AJ86" s="123">
        <f t="shared" si="28"/>
        <v>3</v>
      </c>
      <c r="AK86" s="123" t="s">
        <v>3187</v>
      </c>
      <c r="AL86" s="123">
        <f t="shared" si="29"/>
        <v>0</v>
      </c>
      <c r="AM86" s="123">
        <f t="shared" si="30"/>
        <v>7</v>
      </c>
      <c r="AN86" s="123">
        <f t="shared" si="31"/>
        <v>4</v>
      </c>
      <c r="AP86" s="123">
        <f>AN86/AN92*10000+AM86/AM92*1000+AI86/AI92*100+IF(AQ86=0,ROW(),AQ86)/2000000</f>
        <v>8827.7785854277772</v>
      </c>
      <c r="AQ86" s="126">
        <f t="shared" si="23"/>
        <v>1615.3</v>
      </c>
      <c r="AR86" s="125" t="str">
        <f t="shared" si="36"/>
        <v>ABCDFG</v>
      </c>
      <c r="AS86" s="129" t="str">
        <f t="shared" si="32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Canada</v>
      </c>
      <c r="K87" s="100">
        <f t="shared" si="33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1 - 2</v>
      </c>
      <c r="P87" s="101">
        <f t="shared" si="34"/>
        <v>2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24"/>
        <v>5</v>
      </c>
      <c r="AE87" s="124" t="str">
        <f>J53</f>
        <v>Cape Verde</v>
      </c>
      <c r="AF87" s="123">
        <f t="shared" si="25"/>
        <v>1</v>
      </c>
      <c r="AG87" s="123">
        <f t="shared" si="35"/>
        <v>0</v>
      </c>
      <c r="AH87" s="123">
        <f t="shared" si="26"/>
        <v>2</v>
      </c>
      <c r="AI87" s="123">
        <f t="shared" si="27"/>
        <v>2</v>
      </c>
      <c r="AJ87" s="123">
        <f t="shared" si="28"/>
        <v>9</v>
      </c>
      <c r="AK87" s="123" t="s">
        <v>3188</v>
      </c>
      <c r="AL87" s="123">
        <f t="shared" si="29"/>
        <v>-7</v>
      </c>
      <c r="AM87" s="123">
        <f t="shared" si="30"/>
        <v>0</v>
      </c>
      <c r="AN87" s="123">
        <f t="shared" si="31"/>
        <v>3</v>
      </c>
      <c r="AP87" s="123">
        <f>AN87/AN92*10000+AM87/AM92*1000+AI87/AI92*100+IF(AQ87=0,ROW(),AQ87)/2000000</f>
        <v>6033.334016398333</v>
      </c>
      <c r="AQ87" s="126">
        <f t="shared" si="23"/>
        <v>1366.13</v>
      </c>
      <c r="AR87" s="125" t="str">
        <f t="shared" si="36"/>
        <v>ABCDFGH</v>
      </c>
      <c r="AS87" s="129" t="str">
        <f t="shared" si="32"/>
        <v>Cape Verde</v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Sweden</v>
      </c>
      <c r="K88" s="100">
        <f t="shared" si="33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3 - 5</v>
      </c>
      <c r="P88" s="101">
        <f t="shared" si="34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24"/>
        <v>4</v>
      </c>
      <c r="AE88" s="124" t="str">
        <f>J59</f>
        <v>Senegal</v>
      </c>
      <c r="AF88" s="123">
        <f t="shared" si="25"/>
        <v>1</v>
      </c>
      <c r="AG88" s="123">
        <f t="shared" si="35"/>
        <v>0</v>
      </c>
      <c r="AH88" s="123">
        <f t="shared" si="26"/>
        <v>2</v>
      </c>
      <c r="AI88" s="123">
        <f t="shared" si="27"/>
        <v>4</v>
      </c>
      <c r="AJ88" s="123">
        <f t="shared" si="28"/>
        <v>6</v>
      </c>
      <c r="AK88" s="123" t="s">
        <v>3189</v>
      </c>
      <c r="AL88" s="123">
        <f t="shared" si="29"/>
        <v>-2</v>
      </c>
      <c r="AM88" s="123">
        <f t="shared" si="30"/>
        <v>5</v>
      </c>
      <c r="AN88" s="123">
        <f t="shared" si="31"/>
        <v>3</v>
      </c>
      <c r="AP88" s="123">
        <f>AN88/AN92*10000+AM88/AM92*1000+AI88/AI92*100+IF(AQ88=0,ROW(),AQ88)/2000000</f>
        <v>6622.2230667172225</v>
      </c>
      <c r="AQ88" s="126">
        <f t="shared" si="23"/>
        <v>1688.99</v>
      </c>
      <c r="AR88" s="125" t="str">
        <f t="shared" si="36"/>
        <v>ABCDFGHI</v>
      </c>
      <c r="AS88" s="129" t="str">
        <f t="shared" si="32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33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34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24"/>
        <v>9</v>
      </c>
      <c r="AE89" s="124" t="str">
        <f>J65</f>
        <v>Algeria</v>
      </c>
      <c r="AF89" s="123">
        <f t="shared" si="25"/>
        <v>0</v>
      </c>
      <c r="AG89" s="123">
        <f t="shared" si="35"/>
        <v>2</v>
      </c>
      <c r="AH89" s="123">
        <f t="shared" si="26"/>
        <v>1</v>
      </c>
      <c r="AI89" s="123">
        <f t="shared" si="27"/>
        <v>2</v>
      </c>
      <c r="AJ89" s="123">
        <f t="shared" si="28"/>
        <v>4</v>
      </c>
      <c r="AK89" s="123" t="s">
        <v>3190</v>
      </c>
      <c r="AL89" s="123">
        <f t="shared" si="29"/>
        <v>-2</v>
      </c>
      <c r="AM89" s="123">
        <f t="shared" si="30"/>
        <v>5</v>
      </c>
      <c r="AN89" s="123">
        <f t="shared" si="31"/>
        <v>2</v>
      </c>
      <c r="AP89" s="123">
        <f>AN89/AN92*10000+AM89/AM92*1000+AI89/AI92*100+IF(AQ89=0,ROW(),AQ89)/2000000</f>
        <v>4588.8896710188883</v>
      </c>
      <c r="AQ89" s="126">
        <f t="shared" si="23"/>
        <v>1564.26</v>
      </c>
      <c r="AR89" s="125" t="str">
        <f t="shared" si="36"/>
        <v>ABCDFGHI</v>
      </c>
      <c r="AS89" s="129" t="str">
        <f t="shared" si="32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Ⓔ Ivory Coast</v>
      </c>
      <c r="K90" s="103">
        <f t="shared" si="33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34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Canada</v>
      </c>
      <c r="T90" s="127" t="str" cm="1">
        <f t="array" ref="T90">IF(OR(S90="",S90="draw"),INDEX(T,92,lang),S90)</f>
        <v>Canada</v>
      </c>
      <c r="AD90" s="123">
        <f t="shared" si="24"/>
        <v>12</v>
      </c>
      <c r="AE90" s="124" t="str">
        <f>J71</f>
        <v>Uzbekistan</v>
      </c>
      <c r="AF90" s="123">
        <f t="shared" si="25"/>
        <v>0</v>
      </c>
      <c r="AG90" s="123">
        <f t="shared" si="35"/>
        <v>1</v>
      </c>
      <c r="AH90" s="123">
        <f t="shared" si="26"/>
        <v>2</v>
      </c>
      <c r="AI90" s="123">
        <f t="shared" si="27"/>
        <v>1</v>
      </c>
      <c r="AJ90" s="123">
        <f t="shared" si="28"/>
        <v>6</v>
      </c>
      <c r="AK90" s="123" t="s">
        <v>3191</v>
      </c>
      <c r="AL90" s="123">
        <f t="shared" si="29"/>
        <v>-5</v>
      </c>
      <c r="AM90" s="123">
        <f t="shared" si="30"/>
        <v>2</v>
      </c>
      <c r="AN90" s="123">
        <f t="shared" si="31"/>
        <v>1</v>
      </c>
      <c r="AP90" s="123">
        <f>AN90/AN92*10000+AM90/AM92*1000+AI90/AI92*100+IF(AQ90=0,ROW(),AQ90)/2000000</f>
        <v>2238.8896215588888</v>
      </c>
      <c r="AQ90" s="126">
        <f t="shared" si="23"/>
        <v>1465.34</v>
      </c>
      <c r="AR90" s="125" t="str">
        <f t="shared" si="36"/>
        <v>ABCDFGHI</v>
      </c>
      <c r="AS90" s="129" t="str">
        <f t="shared" si="32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Ghana</v>
      </c>
      <c r="K91" s="103">
        <f t="shared" si="33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5 - 9</v>
      </c>
      <c r="P91" s="104">
        <f t="shared" si="34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24"/>
        <v>11</v>
      </c>
      <c r="AE91" s="124" t="str">
        <f>J77</f>
        <v>Ghana</v>
      </c>
      <c r="AF91" s="123">
        <f t="shared" si="25"/>
        <v>0</v>
      </c>
      <c r="AG91" s="123">
        <f t="shared" si="35"/>
        <v>1</v>
      </c>
      <c r="AH91" s="123">
        <f>VLOOKUP($AE91,$AE$8:$AQ$78,4,FALSE)</f>
        <v>2</v>
      </c>
      <c r="AI91" s="123">
        <f>VLOOKUP($AE91,$AE$8:$AQ$78,5,FALSE)</f>
        <v>5</v>
      </c>
      <c r="AJ91" s="123">
        <f>VLOOKUP($AE91,$AE$8:$AQ$78,6,FALSE)</f>
        <v>9</v>
      </c>
      <c r="AK91" s="123" t="s">
        <v>3192</v>
      </c>
      <c r="AL91" s="123">
        <f>VLOOKUP($AE91,$AE$8:$AQ$78,8,FALSE)</f>
        <v>-4</v>
      </c>
      <c r="AM91" s="123">
        <f t="shared" si="30"/>
        <v>3</v>
      </c>
      <c r="AN91" s="123">
        <f>VLOOKUP($AE91,$AE$8:$AQ$78,10,FALSE)</f>
        <v>1</v>
      </c>
      <c r="AP91" s="123">
        <f>AN91/AN92*10000+AM91/AM92*1000+AI91/AI92*100+IF(AQ91=0,ROW(),AQ91)/2000000</f>
        <v>2416.6673398216672</v>
      </c>
      <c r="AQ91" s="126">
        <f t="shared" si="23"/>
        <v>1346.31</v>
      </c>
      <c r="AR91" s="125" t="str">
        <f t="shared" si="36"/>
        <v>ABCDFGHI</v>
      </c>
      <c r="AS91" s="129" t="str">
        <f t="shared" si="32"/>
        <v/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33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34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10</v>
      </c>
      <c r="AL92" s="123">
        <f>MIN(AL80:AL91)</f>
        <v>-7</v>
      </c>
      <c r="AM92" s="123">
        <f>MAX(AM80:AM91)+1</f>
        <v>9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460</v>
      </c>
      <c r="C3" s="121" t="str">
        <f>'2026 World Cup'!AR91</f>
        <v>ABCDFGHI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3D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04EEAD-5E02-45B5-8490-CE29AE55913F}"/>
</file>

<file path=customXml/itemProps2.xml><?xml version="1.0" encoding="utf-8"?>
<ds:datastoreItem xmlns:ds="http://schemas.openxmlformats.org/officeDocument/2006/customXml" ds:itemID="{0D8C9748-4929-4C82-82E4-B5B35B58EB7C}"/>
</file>

<file path=customXml/itemProps3.xml><?xml version="1.0" encoding="utf-8"?>
<ds:datastoreItem xmlns:ds="http://schemas.openxmlformats.org/officeDocument/2006/customXml" ds:itemID="{3C99E22C-3D7A-4CF1-B308-2BEA1B351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2026-06-16T11:51:01Z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