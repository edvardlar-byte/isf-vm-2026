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B392697C-A357-467A-86E2-3FA0DBC7BC15}" xr6:coauthVersionLast="47" xr6:coauthVersionMax="47" xr10:uidLastSave="{00000000-0000-0000-0000-000000000000}"/>
  <bookViews>
    <workbookView xWindow="9330" yWindow="1245" windowWidth="26280" windowHeight="1777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T21" i="3"/>
  <c r="S42" i="3"/>
  <c r="S64" i="3"/>
  <c r="T18" i="3"/>
  <c r="T41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57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7" i="3" l="1"/>
  <c r="AP57" i="3" s="1"/>
  <c r="BI59" i="3"/>
  <c r="AP59" i="3" s="1"/>
  <c r="BI58" i="3"/>
  <c r="AP58" i="3" s="1"/>
  <c r="BI20" i="3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72" i="3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6" i="3" l="1"/>
  <c r="AD57" i="3" s="1"/>
  <c r="AR59" i="3"/>
  <c r="AR58" i="3"/>
  <c r="AR11" i="3"/>
  <c r="AR10" i="3"/>
  <c r="AR70" i="3"/>
  <c r="AR69" i="3"/>
  <c r="AR35" i="3"/>
  <c r="AR71" i="3"/>
  <c r="AR9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8" i="3" l="1"/>
  <c r="AD59" i="3"/>
  <c r="AD56" i="3"/>
  <c r="AD34" i="3"/>
  <c r="AD9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AD14" i="3"/>
  <c r="AD44" i="3"/>
  <c r="AD76" i="3"/>
  <c r="AD15" i="3"/>
  <c r="AD22" i="3"/>
  <c r="AD62" i="3"/>
  <c r="AD39" i="3"/>
  <c r="AD21" i="3"/>
  <c r="AD41" i="3"/>
  <c r="AD47" i="3"/>
  <c r="AD53" i="3"/>
  <c r="AD63" i="3"/>
  <c r="AD20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M58" i="3" l="1"/>
  <c r="M60" i="3"/>
  <c r="N58" i="3"/>
  <c r="O59" i="3"/>
  <c r="O57" i="3"/>
  <c r="J60" i="3"/>
  <c r="N57" i="3"/>
  <c r="L60" i="3"/>
  <c r="P60" i="3" s="1"/>
  <c r="O58" i="3"/>
  <c r="M59" i="3"/>
  <c r="N60" i="3"/>
  <c r="L58" i="3"/>
  <c r="K58" i="3" s="1"/>
  <c r="J58" i="3"/>
  <c r="AS57" i="3" s="1"/>
  <c r="BL47" i="3" s="1"/>
  <c r="BS45" i="3" s="1"/>
  <c r="J59" i="3"/>
  <c r="AE88" i="3" s="1"/>
  <c r="AQ88" i="3" s="1"/>
  <c r="L59" i="3"/>
  <c r="J57" i="3"/>
  <c r="AS56" i="3" s="1"/>
  <c r="BL14" i="3" s="1"/>
  <c r="N59" i="3"/>
  <c r="L57" i="3"/>
  <c r="O60" i="3"/>
  <c r="M57" i="3"/>
  <c r="J36" i="3"/>
  <c r="L71" i="3"/>
  <c r="J69" i="3"/>
  <c r="AS68" i="3" s="1"/>
  <c r="BL70" i="3" s="1"/>
  <c r="J72" i="3"/>
  <c r="O69" i="3"/>
  <c r="M71" i="3"/>
  <c r="N36" i="3"/>
  <c r="J70" i="3"/>
  <c r="AS69" i="3" s="1"/>
  <c r="BL26" i="3" s="1"/>
  <c r="S86" i="3" s="1"/>
  <c r="T86" i="3" s="1" a="1"/>
  <c r="T86" i="3" s="1"/>
  <c r="O71" i="3"/>
  <c r="N69" i="3"/>
  <c r="L70" i="3"/>
  <c r="M69" i="3"/>
  <c r="L69" i="3"/>
  <c r="N35" i="3"/>
  <c r="N72" i="3"/>
  <c r="O36" i="3"/>
  <c r="L72" i="3"/>
  <c r="O34" i="3"/>
  <c r="O72" i="3"/>
  <c r="M35" i="3"/>
  <c r="N70" i="3"/>
  <c r="J33" i="3"/>
  <c r="AS32" i="3" s="1"/>
  <c r="BL10" i="3" s="1"/>
  <c r="L36" i="3"/>
  <c r="M72" i="3"/>
  <c r="N71" i="3"/>
  <c r="O70" i="3"/>
  <c r="J71" i="3"/>
  <c r="AE90" i="3" s="1"/>
  <c r="AQ90" i="3" s="1"/>
  <c r="M70" i="3"/>
  <c r="M34" i="3"/>
  <c r="N10" i="3"/>
  <c r="J10" i="3"/>
  <c r="AS9" i="3" s="1"/>
  <c r="BL1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M53" i="3"/>
  <c r="J52" i="3"/>
  <c r="AS51" i="3" s="1"/>
  <c r="BL59" i="3" s="1"/>
  <c r="N23" i="3"/>
  <c r="L54" i="3"/>
  <c r="O53" i="3"/>
  <c r="M21" i="3"/>
  <c r="O54" i="3"/>
  <c r="M24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N54" i="3"/>
  <c r="N53" i="3"/>
  <c r="L22" i="3"/>
  <c r="J22" i="3"/>
  <c r="AS21" i="3" s="1"/>
  <c r="BL23" i="3" s="1"/>
  <c r="L53" i="3"/>
  <c r="O21" i="3"/>
  <c r="N64" i="3"/>
  <c r="L64" i="3"/>
  <c r="J42" i="3"/>
  <c r="L66" i="3"/>
  <c r="L15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M15" i="3"/>
  <c r="O15" i="3"/>
  <c r="J15" i="3"/>
  <c r="AS14" i="3" s="1"/>
  <c r="BL66" i="3" s="1"/>
  <c r="AI88" i="3" l="1"/>
  <c r="AF88" i="3"/>
  <c r="K57" i="3"/>
  <c r="AH88" i="3"/>
  <c r="AJ88" i="3"/>
  <c r="AG88" i="3"/>
  <c r="AT88" i="3"/>
  <c r="BZ48" i="3"/>
  <c r="K59" i="3"/>
  <c r="P57" i="3"/>
  <c r="K60" i="3"/>
  <c r="P59" i="3"/>
  <c r="AL88" i="3"/>
  <c r="AN88" i="3"/>
  <c r="P58" i="3"/>
  <c r="BS28" i="3"/>
  <c r="S88" i="3"/>
  <c r="T88" i="3" s="1" a="1"/>
  <c r="T88" i="3" s="1"/>
  <c r="P71" i="3"/>
  <c r="P69" i="3"/>
  <c r="K71" i="3"/>
  <c r="P70" i="3"/>
  <c r="K70" i="3"/>
  <c r="AJ90" i="3"/>
  <c r="K69" i="3"/>
  <c r="P72" i="3"/>
  <c r="P34" i="3"/>
  <c r="AH90" i="3"/>
  <c r="P33" i="3"/>
  <c r="AN90" i="3"/>
  <c r="AF90" i="3"/>
  <c r="AT90" i="3"/>
  <c r="AL90" i="3"/>
  <c r="AI90" i="3"/>
  <c r="AG90" i="3"/>
  <c r="K72" i="3"/>
  <c r="P35" i="3"/>
  <c r="P12" i="3"/>
  <c r="K36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Z49" i="3" s="1"/>
  <c r="CG55" i="3" s="1"/>
  <c r="BS69" i="3"/>
  <c r="BZ65" i="3" s="1"/>
  <c r="CG56" i="3" s="1"/>
  <c r="BS68" i="3"/>
  <c r="CN38" i="3" l="1"/>
  <c r="CK68" i="3" s="1"/>
  <c r="CN49" i="3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<sst xmlns="http://schemas.openxmlformats.org/spreadsheetml/2006/main" count="9786" uniqueCount="3698">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</sst>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="72" zoomScaleNormal="115" workbookViewId="0">
      <selection activeCell="CN54" sqref="CN54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9</v>
      </c>
      <c r="AJ8" s="123">
        <f>SUMIF($E$7:$E$78,$AE8,$G$7:$G$78) + SUMIF($H$7:$H$78,$AE8,$F$7:$F$78)</f>
        <v>2</v>
      </c>
      <c r="AL8" s="123">
        <f>AI8-AJ8</f>
        <v>7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90000009.991749614</v>
      </c>
      <c r="AQ8" s="126">
        <f>VLOOKUP(AE8,db_fifarank,2,FALSE)</f>
        <v>1681.03</v>
      </c>
      <c r="AR8" s="125">
        <f>AP8/AP12</f>
        <v>0.9999999888888903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9 - 2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4</v>
      </c>
      <c r="AJ9" s="123">
        <f>SUMIF($E$7:$E$78,$AE9,$G$7:$G$78) + SUMIF($H$7:$H$78,$AE9,$F$7:$F$78)</f>
        <v>5</v>
      </c>
      <c r="AL9" s="123">
        <f>AI9-AJ9</f>
        <v>-1</v>
      </c>
      <c r="AM9" s="123">
        <f>AL9-AL12</f>
        <v>2</v>
      </c>
      <c r="AN9" s="123">
        <f>AF9*3+AG9</f>
        <v>4</v>
      </c>
      <c r="AO9" s="123">
        <f>AN9/AN12*10+BA9</f>
        <v>4</v>
      </c>
      <c r="AP9" s="123">
        <f>AO9*10000000+BI9*100+AM9/AM12*10+AI9/AI12*1++IF(AQ9=0,ROW(),AQ9)/2000000</f>
        <v>40000002.218896687</v>
      </c>
      <c r="AQ9" s="126">
        <f>VLOOKUP(AE9,db_fifarank,2,FALSE)</f>
        <v>1429.73</v>
      </c>
      <c r="AR9" s="125">
        <f>AP9/AP12</f>
        <v>0.44444441481861069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4 - 5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6</v>
      </c>
      <c r="AL10" s="123">
        <f>AI10-AJ10</f>
        <v>-3</v>
      </c>
      <c r="AM10" s="123">
        <f>AL10-AL12</f>
        <v>0</v>
      </c>
      <c r="AN10" s="123">
        <f>AF10*3+AG10</f>
        <v>1</v>
      </c>
      <c r="AO10" s="123">
        <f>AN10/AN12*10+BA10</f>
        <v>1</v>
      </c>
      <c r="AP10" s="123">
        <f>AO10*10000000+BI10*100+AM10/AM12*10+AI10/AI12*1++IF(AQ10=0,ROW(),AQ10)/2000000</f>
        <v>10000000.300794331</v>
      </c>
      <c r="AQ10" s="126">
        <f>VLOOKUP(AE10,db_fifarank,2,FALSE)</f>
        <v>1588.66</v>
      </c>
      <c r="AR10" s="125">
        <f>AP10/AP12</f>
        <v>0.11111110088321034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2 - 5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5</v>
      </c>
      <c r="AL11" s="123">
        <f>AI11-AJ11</f>
        <v>-3</v>
      </c>
      <c r="AM11" s="123">
        <f>AL11-AL12</f>
        <v>0</v>
      </c>
      <c r="AN11" s="123">
        <f>AF11*3+AG11</f>
        <v>2</v>
      </c>
      <c r="AO11" s="123">
        <f>AN11/AN12*10+BA11</f>
        <v>2</v>
      </c>
      <c r="AP11" s="123">
        <f>AO11*10000000+BI11*100+AM11/AM12*10+AI11/AI12*1++IF(AQ11=0,ROW(),AQ11)/2000000</f>
        <v>20000000.20075069</v>
      </c>
      <c r="AQ11" s="126">
        <f>VLOOKUP(AE11,db_fifarank,2,FALSE)</f>
        <v>1501.38</v>
      </c>
      <c r="AR11" s="125">
        <f>AP11/AP12</f>
        <v>0.22222219731266599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Turkey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3 - 6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10</v>
      </c>
      <c r="AL12" s="123">
        <f>MIN(AL8:AL11)</f>
        <v>-3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90000010.991749614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2</v>
      </c>
      <c r="AL14" s="123">
        <f>AI14-AJ14</f>
        <v>4</v>
      </c>
      <c r="AM14" s="123">
        <f>AL14-AL18</f>
        <v>9</v>
      </c>
      <c r="AN14" s="123">
        <f>AF14*3+AG14</f>
        <v>7</v>
      </c>
      <c r="AO14" s="123">
        <f>AN14/AN18*10+BA14</f>
        <v>9.7401960784313726</v>
      </c>
      <c r="AP14" s="123">
        <f>AO14*10000000+BI14*100+AM14/AM18*10+AI14/AI18*1++IF(AQ14=0,ROW(),AQ14)/2000000</f>
        <v>97402069.661842659</v>
      </c>
      <c r="AQ14" s="126">
        <f>VLOOKUP(AE14,db_fifarank,2,FALSE)</f>
        <v>1556.48</v>
      </c>
      <c r="AR14" s="125">
        <f>AP14/AP18</f>
        <v>0.99999998973327786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101</v>
      </c>
      <c r="BA14" s="126">
        <f>AZ14/AZ18</f>
        <v>0.99019607843137258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101</v>
      </c>
      <c r="BI14" s="126">
        <f>BH14/BH18</f>
        <v>0.99019607843137258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5</v>
      </c>
      <c r="AL15" s="123">
        <f>AI15-AJ15</f>
        <v>-2</v>
      </c>
      <c r="AM15" s="123">
        <f>AL15-AL18</f>
        <v>3</v>
      </c>
      <c r="AN15" s="123">
        <f>AF15*3+AG15</f>
        <v>1</v>
      </c>
      <c r="AO15" s="123">
        <f>AN15/AN18*10+BA15</f>
        <v>2.2401960784313726</v>
      </c>
      <c r="AP15" s="123">
        <f>AO15*10000000+BI15*100+AM15/AM18*10+AI15/AI18*1++IF(AQ15=0,ROW(),AQ15)/2000000</f>
        <v>22402063.233185917</v>
      </c>
      <c r="AQ15" s="126">
        <f>VLOOKUP(AE15,db_fifarank,2,FALSE)</f>
        <v>1385.84</v>
      </c>
      <c r="AR15" s="125">
        <f>AP15/AP18</f>
        <v>0.22999575964827967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101</v>
      </c>
      <c r="BA15" s="126">
        <f>AZ15/AZ18</f>
        <v>0.99019607843137258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101</v>
      </c>
      <c r="BI15" s="126">
        <f>BH15/BH18</f>
        <v>0.99019607843137258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1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6</v>
      </c>
      <c r="AL16" s="123">
        <f>AI16-AJ16</f>
        <v>-5</v>
      </c>
      <c r="AM16" s="123">
        <f>AL16-AL18</f>
        <v>0</v>
      </c>
      <c r="AN16" s="123">
        <f>AF16*3+AG16</f>
        <v>1</v>
      </c>
      <c r="AO16" s="123">
        <f>AN16/AN18*10+BA16</f>
        <v>2.2401960784313726</v>
      </c>
      <c r="AP16" s="123">
        <f>AO16*10000000+BI16*100+AM16/AM18*10+AI16/AI18*1++IF(AQ16=0,ROW(),AQ16)/2000000</f>
        <v>22402059.947506189</v>
      </c>
      <c r="AQ16" s="126">
        <f>VLOOKUP(AE16,db_fifarank,2,FALSE)</f>
        <v>1454.96</v>
      </c>
      <c r="AR16" s="125">
        <f>AP16/AP18</f>
        <v>0.22999572591511871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101</v>
      </c>
      <c r="BA16" s="126">
        <f>AZ16/AZ18</f>
        <v>0.99019607843137258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101</v>
      </c>
      <c r="BI16" s="126">
        <f>BH16/BH18</f>
        <v>0.99019607843137258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8</v>
      </c>
      <c r="AN17" s="123">
        <f>AF17*3+AG17</f>
        <v>7</v>
      </c>
      <c r="AO17" s="123">
        <f>AN17/AN18*10+BA17</f>
        <v>9.7401960784313726</v>
      </c>
      <c r="AP17" s="123">
        <f>AO17*10000000+BI17*100+AM17/AM18*10+AI17/AI18*1++IF(AQ17=0,ROW(),AQ17)/2000000</f>
        <v>97402068.519031987</v>
      </c>
      <c r="AQ17" s="126">
        <f>VLOOKUP(AE17,db_fifarank,2,FALSE)</f>
        <v>1649.4</v>
      </c>
      <c r="AR17" s="125">
        <f>AP17/AP18</f>
        <v>0.99999997800035811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101</v>
      </c>
      <c r="BA17" s="126">
        <f>AZ17/AZ18</f>
        <v>0.99019607843137258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101</v>
      </c>
      <c r="BI17" s="126">
        <f>BH17/BH18</f>
        <v>0.99019607843137258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1 - 6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7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10.740196078431373</v>
      </c>
      <c r="AP18" s="123">
        <f>MAX(AP14:AP17)+1</f>
        <v>97402070.661842659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102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102</v>
      </c>
      <c r="BK18" s="131">
        <v>73</v>
      </c>
      <c r="BL18" s="24" t="str">
        <f>AS9</f>
        <v>South Africa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90000010.312645301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10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49805929.584201738</v>
      </c>
      <c r="AQ21" s="126">
        <f>VLOOKUP(AE21,db_fifarank,2,FALSE)</f>
        <v>1755.87</v>
      </c>
      <c r="AR21" s="125">
        <f>AP21/AP24</f>
        <v>0.55339914804214962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7.176165764650912E-12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4 - 3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4</v>
      </c>
      <c r="AL23" s="123">
        <f>AI23-AJ23</f>
        <v>1</v>
      </c>
      <c r="AM23" s="123">
        <f>AL23-AL24</f>
        <v>10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49805929.684072986</v>
      </c>
      <c r="AQ23" s="126">
        <f>VLOOKUP(AE23,db_fifarank,2,FALSE)</f>
        <v>1498.35</v>
      </c>
      <c r="AR23" s="125">
        <f>AP23/AP24</f>
        <v>0.55339914915182997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Scotland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90000011.312645301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3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6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90000009.429407984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2</v>
      </c>
      <c r="BO26" s="25"/>
      <c r="BP26" s="112">
        <f>IF(OR(BM26="",BM27="",AND(BN26="",BN27&lt;&gt;""),AND(BN27="",BN26&lt;&gt;""),AND(BO26="",BO27&lt;&gt;""),AND(BO27="",BO26&lt;&gt;"")),"",BM26*1000+BN26*10+BO26)</f>
        <v>1020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4</v>
      </c>
      <c r="AL27" s="123">
        <f>AI27-AJ27</f>
        <v>-1</v>
      </c>
      <c r="AM27" s="123">
        <f>AL27-AL30</f>
        <v>1</v>
      </c>
      <c r="AN27" s="123">
        <f>AF27*3+AG27</f>
        <v>4</v>
      </c>
      <c r="AO27" s="123">
        <f>AN27/AN30*10+BA27</f>
        <v>4</v>
      </c>
      <c r="AP27" s="123">
        <f>AO27*10000000+BI27*100+AM27/AM30*10+AI27/AI30*1++IF(AQ27=0,ROW(),AQ27)/2000000</f>
        <v>40000001.857894599</v>
      </c>
      <c r="AQ27" s="126">
        <f>VLOOKUP(AE27,db_fifarank,2,FALSE)</f>
        <v>1503.5</v>
      </c>
      <c r="AR27" s="125">
        <f>AP27/AP30</f>
        <v>0.44444441358447206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1</v>
      </c>
      <c r="BO27" s="27"/>
      <c r="BP27" s="113">
        <f>IF(BP26="","",BM27*1000+BN27*10+BO27)</f>
        <v>1010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3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3 - 4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0</v>
      </c>
      <c r="AN28" s="123">
        <f>AF28*3+AG28</f>
        <v>1</v>
      </c>
      <c r="AO28" s="123">
        <f>AN28/AN30*10+BA28</f>
        <v>1</v>
      </c>
      <c r="AP28" s="123">
        <f>AO28*10000000+BI28*100+AM28/AM30*10+AI28/AI30*1++IF(AQ28=0,ROW(),AQ28)/2000000</f>
        <v>10000000.429361764</v>
      </c>
      <c r="AQ28" s="126">
        <f>VLOOKUP(AE28,db_fifarank,2,FALSE)</f>
        <v>1580.67</v>
      </c>
      <c r="AR28" s="125">
        <f>AP28/AP30</f>
        <v>0.11111110300598599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0</v>
      </c>
      <c r="AH29" s="123">
        <f>COUNTIF($S$7:$T$78,"=" &amp; AE29 &amp; "_lose")</f>
        <v>2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5</v>
      </c>
      <c r="AL29" s="123">
        <f>AI29-AJ29</f>
        <v>-1</v>
      </c>
      <c r="AM29" s="123">
        <f>AL29-AL30</f>
        <v>1</v>
      </c>
      <c r="AN29" s="123">
        <f>AF29*3+AG29</f>
        <v>3</v>
      </c>
      <c r="AO29" s="123">
        <f>AN29/AN30*10+BA29</f>
        <v>3</v>
      </c>
      <c r="AP29" s="123">
        <f>AO29*10000000+BI29*100+AM29/AM30*10+AI29/AI30*1++IF(AQ29=0,ROW(),AQ29)/2000000</f>
        <v>30000002.000799522</v>
      </c>
      <c r="AQ29" s="126">
        <f>VLOOKUP(AE29,db_fifarank,2,FALSE)</f>
        <v>1599.04</v>
      </c>
      <c r="AR29" s="125">
        <f>AP29/AP30</f>
        <v>0.33333331693700408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7</v>
      </c>
      <c r="AL30" s="123">
        <f>MIN(AL26:AL29)</f>
        <v>-2</v>
      </c>
      <c r="AM30" s="123">
        <f>MAX(AM26:AM29)+1</f>
        <v>7</v>
      </c>
      <c r="AN30" s="123">
        <f>MAX(AN26:AN29)+1</f>
        <v>10</v>
      </c>
      <c r="AO30" s="123">
        <f>MAX(AO26:AO29)+1</f>
        <v>10</v>
      </c>
      <c r="AP30" s="123">
        <f>MAX(AP26:AP29)+1</f>
        <v>90000010.429407984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1</v>
      </c>
      <c r="AL32" s="123">
        <f>AI32-AJ32</f>
        <v>8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90000010.345309645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10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0.10064732500000001</v>
      </c>
      <c r="AQ33" s="126">
        <f>VLOOKUP(AE33,db_fifarank,2,FALSE)</f>
        <v>1294.6500000000001</v>
      </c>
      <c r="AR33" s="125">
        <f>AP33/AP36</f>
        <v>1.1183034701388984E-9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3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8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30000004.745210934</v>
      </c>
      <c r="AQ34" s="126">
        <f>VLOOKUP(AE34,db_fifarank,2,FALSE)</f>
        <v>1532.98</v>
      </c>
      <c r="AR34" s="125">
        <f>AP34/AP36</f>
        <v>0.33333334403823256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3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3000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60000006.611908503</v>
      </c>
      <c r="AQ35" s="126">
        <f>VLOOKUP(AE35,db_fifarank,2,FALSE)</f>
        <v>1594.78</v>
      </c>
      <c r="AR35" s="125">
        <f>AP35/AP36</f>
        <v>0.66666665609298736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Ivory Coast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1 - 10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10</v>
      </c>
      <c r="AL36" s="123">
        <f>MIN(AL32:AL35)</f>
        <v>-9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90000011.345309645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2</v>
      </c>
      <c r="AL38" s="123">
        <f>AI38-AJ38</f>
        <v>5</v>
      </c>
      <c r="AM38" s="123">
        <f>AL38-AL42</f>
        <v>12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90000010.106648162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7 - 2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9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60000007.548907138</v>
      </c>
      <c r="AQ39" s="126">
        <f>VLOOKUP(AE39,db_fifarank,2,FALSE)</f>
        <v>1660.43</v>
      </c>
      <c r="AR39" s="125">
        <f>AP39/AP42</f>
        <v>0.66666666827194454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Algeria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5 - 3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7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30000005.885372769</v>
      </c>
      <c r="AQ40" s="126">
        <f>VLOOKUP(AE40,db_fifarank,2,FALSE)</f>
        <v>1514.77</v>
      </c>
      <c r="AR40" s="125">
        <f>AP40/AP42</f>
        <v>0.33333335759062716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4 - 4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7</v>
      </c>
      <c r="AL41" s="123">
        <f>AI41-AJ41</f>
        <v>-7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8.2391656498942875E-12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0 - 7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8</v>
      </c>
      <c r="AL42" s="123">
        <f>MIN(AL38:AL41)</f>
        <v>-7</v>
      </c>
      <c r="AM42" s="123">
        <f>MAX(AM38:AM41)+1</f>
        <v>13</v>
      </c>
      <c r="AN42" s="123">
        <f>MAX(AN38:AN41)+1</f>
        <v>10</v>
      </c>
      <c r="AO42" s="123">
        <f>MAX(AO38:AO41)+1</f>
        <v>10</v>
      </c>
      <c r="AP42" s="123">
        <f>MAX(AP38:AP41)+1</f>
        <v>90000011.106648162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4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4000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1</v>
      </c>
      <c r="AL44" s="123">
        <f>AI44-AJ44</f>
        <v>8</v>
      </c>
      <c r="AM44" s="123">
        <f>AL44-AL48</f>
        <v>14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90000010.234200686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5</v>
      </c>
      <c r="AL45" s="123">
        <f>AI45-AJ45</f>
        <v>-1</v>
      </c>
      <c r="AM45" s="123">
        <f>AL45-AL48</f>
        <v>5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49805927.03508582</v>
      </c>
      <c r="AQ45" s="126">
        <f>VLOOKUP(AE45,db_fifarank,2,FALSE)</f>
        <v>1563.24</v>
      </c>
      <c r="AR45" s="125">
        <f>AP45/AP48</f>
        <v>0.55339912020098936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4 - 5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5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49805926.935111851</v>
      </c>
      <c r="AQ46" s="126">
        <f>VLOOKUP(AE46,db_fifarank,2,FALSE)</f>
        <v>1615.3</v>
      </c>
      <c r="AR46" s="125">
        <f>AP46/AP48</f>
        <v>0.55339911909016759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7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0.10064078500000001</v>
      </c>
      <c r="AQ47" s="126">
        <f>VLOOKUP(AE47,db_fifarank,2,FALSE)</f>
        <v>1281.57</v>
      </c>
      <c r="AR47" s="125">
        <f>AP47/AP48</f>
        <v>1.118230804861897E-9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1 - 7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10</v>
      </c>
      <c r="AL48" s="123">
        <f>MIN(AL44:AL47)</f>
        <v>-6</v>
      </c>
      <c r="AM48" s="123">
        <f>MAX(AM44:AM47)+1</f>
        <v>15</v>
      </c>
      <c r="AN48" s="123">
        <f>MAX(AN44:AN47)+1</f>
        <v>10</v>
      </c>
      <c r="AO48" s="123">
        <f>MAX(AO44:AO47)+1</f>
        <v>10</v>
      </c>
      <c r="AP48" s="123">
        <f>MAX(AP44:AP47)+1</f>
        <v>90000011.234200686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Argentina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8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19805923.501653939</v>
      </c>
      <c r="AQ51" s="126">
        <f>VLOOKUP(AE51,db_fifarank,2,FALSE)</f>
        <v>1366.13</v>
      </c>
      <c r="AR51" s="125">
        <f>AP51/AP54</f>
        <v>0.22006578933171586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Morocco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6</v>
      </c>
      <c r="AL52" s="123">
        <f>AI52-AJ52</f>
        <v>-4</v>
      </c>
      <c r="AM52" s="123">
        <f>AL52-AL54</f>
        <v>2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19805924.930253018</v>
      </c>
      <c r="AQ52" s="126">
        <f>VLOOKUP(AE52,db_fifarank,2,FALSE)</f>
        <v>1421.43</v>
      </c>
      <c r="AR52" s="125">
        <f>AP52/AP54</f>
        <v>0.22006580520503699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2 - 6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3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60000007.029407963</v>
      </c>
      <c r="AQ53" s="126">
        <f>VLOOKUP(AE53,db_fifarank,2,FALSE)</f>
        <v>1673.07</v>
      </c>
      <c r="AR53" s="125">
        <f>AP53/AP54</f>
        <v>0.66666666190710766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2 - 8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>
        <v>1</v>
      </c>
      <c r="BO54" s="25">
        <v>2</v>
      </c>
      <c r="BP54" s="116">
        <f>IF(OR(BM54="",BM55="",AND(BN54="",BN55&lt;&gt;""),AND(BN55="",BN54&lt;&gt;""),AND(BO54="",BO55&lt;&gt;""),AND(BO55="",BO54&lt;&gt;"")),"",BM54*1000+BN54*10+BO54)</f>
        <v>1012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>
        <v>1</v>
      </c>
      <c r="BO55" s="27">
        <v>1</v>
      </c>
      <c r="BP55" s="112">
        <f>IF(BP54="","",BM55*1000+BN55*10+BO55)</f>
        <v>1011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3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3000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90000010.223160878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6</v>
      </c>
      <c r="AL57" s="123">
        <f>AI57-AJ57</f>
        <v>0</v>
      </c>
      <c r="AM57" s="123">
        <f>AL57-AL60</f>
        <v>8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49806555.678263843</v>
      </c>
      <c r="AQ57" s="126">
        <f>VLOOKUP(AE57,db_fifarank,2,FALSE)</f>
        <v>1688.99</v>
      </c>
      <c r="AR57" s="125">
        <f>AP57/AP60</f>
        <v>0.55340610519220101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7 - 5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10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0.22294579222222222</v>
      </c>
      <c r="AQ58" s="126">
        <f>VLOOKUP(AE58,db_fifarank,2,FALSE)</f>
        <v>1447.14</v>
      </c>
      <c r="AR58" s="125">
        <f>AP58/AP60</f>
        <v>2.4771751602276317E-9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6 - 6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5</v>
      </c>
      <c r="AL59" s="123">
        <f>AI59-AJ59</f>
        <v>2</v>
      </c>
      <c r="AM59" s="123">
        <f>AL59-AL60</f>
        <v>10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49806557.122639261</v>
      </c>
      <c r="AQ59" s="126">
        <f>VLOOKUP(AE59,db_fifarank,2,FALSE)</f>
        <v>1550.94</v>
      </c>
      <c r="AR59" s="125">
        <f>AP59/AP60</f>
        <v>0.55340612124081479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2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2 - 10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-8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90000011.223160878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2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90000010.131706655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2</v>
      </c>
      <c r="BN62" s="63">
        <v>2</v>
      </c>
      <c r="BO62" s="25">
        <v>3</v>
      </c>
      <c r="BP62" s="116">
        <f>IF(OR(BM62="",BM63="",AND(BN62="",BN63&lt;&gt;""),AND(BN63="",BN62&lt;&gt;""),AND(BO62="",BO63&lt;&gt;""),AND(BO63="",BO62&lt;&gt;"")),"",BM62*1000+BN62*10+BO62)</f>
        <v>2023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2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30000001.739243668</v>
      </c>
      <c r="AQ63" s="126">
        <f>VLOOKUP(AE63,db_fifarank,2,FALSE)</f>
        <v>1564.26</v>
      </c>
      <c r="AR63" s="125">
        <f>AP63/AP66</f>
        <v>0.3333333114297225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2</v>
      </c>
      <c r="BN63" s="64">
        <v>2</v>
      </c>
      <c r="BO63" s="27">
        <v>2</v>
      </c>
      <c r="BP63" s="112">
        <f>IF(BP62="","",BM63*1000+BN63*10+BO63)</f>
        <v>2022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6 - 5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5</v>
      </c>
      <c r="AL64" s="123">
        <f>AI64-AJ64</f>
        <v>1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60000005.216181345</v>
      </c>
      <c r="AQ64" s="126">
        <f>VLOOKUP(AE64,db_fifarank,2,FALSE)</f>
        <v>1593.45</v>
      </c>
      <c r="AR64" s="125">
        <f>AP64/AP66</f>
        <v>0.66666664216715388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2 - 5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7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0.20069572500000002</v>
      </c>
      <c r="AQ65" s="126">
        <f>VLOOKUP(AE65,db_fifarank,2,FALSE)</f>
        <v>1391.45</v>
      </c>
      <c r="AR65" s="125">
        <f>AP65/AP66</f>
        <v>2.2299522241869555E-9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10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90000011.131706655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15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90000010.284972817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Brazil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1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19805924.01761914</v>
      </c>
      <c r="AQ69" s="126">
        <f>VLOOKUP(AE69,db_fifarank,2,FALSE)</f>
        <v>1478.35</v>
      </c>
      <c r="AR69" s="125">
        <f>AP69/AP72</f>
        <v>0.22006579482425143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6 - 4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8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19805923.48352173</v>
      </c>
      <c r="AQ70" s="126">
        <f>VLOOKUP(AE70,db_fifarank,2,FALSE)</f>
        <v>1465.34</v>
      </c>
      <c r="AR70" s="125">
        <f>AP70/AP72</f>
        <v>0.22006578888983649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4</v>
      </c>
      <c r="AL71" s="123">
        <f>AI71-AJ71</f>
        <v>2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60000005.546301089</v>
      </c>
      <c r="AQ71" s="126">
        <f>VLOOKUP(AE71,db_fifarank,2,FALSE)</f>
        <v>1693.09</v>
      </c>
      <c r="AR71" s="125">
        <f>AP71/AP72</f>
        <v>0.66666664469984582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2 - 8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11</v>
      </c>
      <c r="AL72" s="123">
        <f>MIN(AL68:AL71)</f>
        <v>-6</v>
      </c>
      <c r="AM72" s="123">
        <f>MAX(AM68:AM71)+1</f>
        <v>16</v>
      </c>
      <c r="AN72" s="123">
        <f>MAX(AN68:AN71)+1</f>
        <v>10</v>
      </c>
      <c r="AO72" s="123">
        <f>MAX(AO68:AO71)+1</f>
        <v>10</v>
      </c>
      <c r="AP72" s="123">
        <f>MAX(AP68:AP71)+1</f>
        <v>90000011.284972817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3</v>
      </c>
      <c r="AL74" s="123">
        <f>AI74-AJ74</f>
        <v>6</v>
      </c>
      <c r="AM74" s="123">
        <f>AL74-AL78</f>
        <v>14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90000010.234246314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9 - 3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4</v>
      </c>
      <c r="AL75" s="123">
        <f>AI75-AJ75</f>
        <v>2</v>
      </c>
      <c r="AM75" s="123">
        <f>AL75-AL78</f>
        <v>10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60000007.267525204</v>
      </c>
      <c r="AQ75" s="126">
        <f>VLOOKUP(AE75,db_fifarank,2,FALSE)</f>
        <v>1717.07</v>
      </c>
      <c r="AR75" s="125">
        <f>AP75/AP78</f>
        <v>0.66666666420030762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6 - 4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5</v>
      </c>
      <c r="AL76" s="123">
        <f>AI76-AJ76</f>
        <v>0</v>
      </c>
      <c r="AM76" s="123">
        <f>AL76-AL78</f>
        <v>8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30000005.834006488</v>
      </c>
      <c r="AQ76" s="126">
        <f>VLOOKUP(AE76,db_fifarank,2,FALSE)</f>
        <v>1346.31</v>
      </c>
      <c r="AR76" s="125">
        <f>AP76/AP78</f>
        <v>0.33333335654730506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5 - 5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8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8.5591100427205512E-12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0 - 8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10</v>
      </c>
      <c r="AL78" s="123">
        <f>MIN(AL74:AL77)</f>
        <v>-8</v>
      </c>
      <c r="AM78" s="123">
        <f>MAX(AM74:AM77)+1</f>
        <v>15</v>
      </c>
      <c r="AN78" s="123">
        <f>MAX(AN74:AN77)+1</f>
        <v>10</v>
      </c>
      <c r="AO78" s="123">
        <f>MAX(AO74:AO77)+1</f>
        <v>10</v>
      </c>
      <c r="AP78" s="123">
        <f>MAX(AP74:AP77)+1</f>
        <v>90000011.234246314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5</v>
      </c>
      <c r="AK80" s="123" t="s">
        <v>3180</v>
      </c>
      <c r="AL80" s="123">
        <f>VLOOKUP($AE80,$AE$8:$AQ$78,8,FALSE)</f>
        <v>-3</v>
      </c>
      <c r="AM80" s="123">
        <f>AL80-$AL$92</f>
        <v>2</v>
      </c>
      <c r="AN80" s="123">
        <f>VLOOKUP($AE80,$AE$8:$AQ$78,10,FALSE)</f>
        <v>2</v>
      </c>
      <c r="AP80" s="123">
        <f>AN80/AN92*10000+AM80/AM92*1000+AI80/AI92*100+IF(AQ80=0,ROW(),AQ80)/2000000</f>
        <v>4314.2864649757139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Morocco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10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2471.429264348571</v>
      </c>
      <c r="AQ81" s="126">
        <f t="shared" si="37"/>
        <v>1385.84</v>
      </c>
      <c r="AR81" s="125" t="str">
        <f>AR80&amp;IF(AD81&lt;=8,RIGHT(AK81,1),"")</f>
        <v/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6 - 6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Morocco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3</v>
      </c>
      <c r="AK82" s="123" t="s">
        <v>3182</v>
      </c>
      <c r="AL82" s="123">
        <f t="shared" si="43"/>
        <v>1</v>
      </c>
      <c r="AM82" s="123">
        <f t="shared" si="44"/>
        <v>6</v>
      </c>
      <c r="AN82" s="123">
        <f t="shared" si="45"/>
        <v>4</v>
      </c>
      <c r="AP82" s="123">
        <f>AN82/AN92*10000+AM82/AM92*1000+AI82/AI92*100+IF(AQ82=0,ROW(),AQ82)/2000000</f>
        <v>8914.2865922207129</v>
      </c>
      <c r="AQ82" s="126">
        <f t="shared" si="37"/>
        <v>1755.87</v>
      </c>
      <c r="AR82" s="125" t="str">
        <f t="shared" ref="AR82:AR91" si="50">AR81&amp;IF(AD82&lt;=8,RIGHT(AK82,1),"")</f>
        <v>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Ⓖ Iran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3 - 4</v>
      </c>
      <c r="P83" s="101">
        <f t="shared" si="48"/>
        <v>4</v>
      </c>
      <c r="AD83" s="123">
        <f t="shared" si="38"/>
        <v>6</v>
      </c>
      <c r="AE83" s="124" t="str">
        <f>J29</f>
        <v>Turkey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6628.5722280914288</v>
      </c>
      <c r="AQ83" s="126">
        <f t="shared" si="37"/>
        <v>1599.04</v>
      </c>
      <c r="AR83" s="125" t="str">
        <f t="shared" si="50"/>
        <v>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6614.2864807757151</v>
      </c>
      <c r="AQ84" s="126">
        <f t="shared" si="37"/>
        <v>1532.98</v>
      </c>
      <c r="AR84" s="125" t="str">
        <f t="shared" si="50"/>
        <v>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6771.4293288135714</v>
      </c>
      <c r="AQ85" s="126">
        <f t="shared" si="37"/>
        <v>1514.77</v>
      </c>
      <c r="AR85" s="125" t="str">
        <f t="shared" si="50"/>
        <v>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Ⓓ Turkey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3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4</v>
      </c>
      <c r="AP86" s="123">
        <f>AN86/AN92*10000+AM86/AM92*1000+AI86/AI92*100+IF(AQ86=0,ROW(),AQ86)/2000000</f>
        <v>8614.2865219357136</v>
      </c>
      <c r="AQ86" s="126">
        <f t="shared" si="37"/>
        <v>1615.3</v>
      </c>
      <c r="AR86" s="125" t="str">
        <f t="shared" si="50"/>
        <v>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6</v>
      </c>
      <c r="AK87" s="123" t="s">
        <v>3188</v>
      </c>
      <c r="AL87" s="123">
        <f t="shared" si="43"/>
        <v>-4</v>
      </c>
      <c r="AM87" s="123">
        <f t="shared" si="44"/>
        <v>1</v>
      </c>
      <c r="AN87" s="123">
        <f t="shared" si="45"/>
        <v>1</v>
      </c>
      <c r="AP87" s="123">
        <f>AN87/AN92*10000+AM87/AM92*1000+AI87/AI92*100+IF(AQ87=0,ROW(),AQ87)/2000000</f>
        <v>2171.4292821435711</v>
      </c>
      <c r="AQ87" s="126">
        <f t="shared" si="37"/>
        <v>1421.43</v>
      </c>
      <c r="AR87" s="125" t="str">
        <f t="shared" si="50"/>
        <v>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6</v>
      </c>
      <c r="AJ88" s="123">
        <f t="shared" si="42"/>
        <v>6</v>
      </c>
      <c r="AK88" s="123" t="s">
        <v>3189</v>
      </c>
      <c r="AL88" s="123">
        <f t="shared" si="43"/>
        <v>0</v>
      </c>
      <c r="AM88" s="123">
        <f t="shared" si="44"/>
        <v>5</v>
      </c>
      <c r="AN88" s="123">
        <f t="shared" si="45"/>
        <v>4</v>
      </c>
      <c r="AP88" s="123">
        <f>AN88/AN92*10000+AM88/AM92*1000+AI88/AI92*100+IF(AQ88=0,ROW(),AQ88)/2000000</f>
        <v>8800.0008444949999</v>
      </c>
      <c r="AQ88" s="126">
        <f t="shared" si="37"/>
        <v>1688.99</v>
      </c>
      <c r="AR88" s="125" t="str">
        <f t="shared" si="50"/>
        <v>CDEFGI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Czech Republic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2 - 5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8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2</v>
      </c>
      <c r="AN89" s="123">
        <f t="shared" si="45"/>
        <v>3</v>
      </c>
      <c r="AP89" s="123">
        <f>AN89/AN92*10000+AM89/AM92*1000+AI89/AI92*100+IF(AQ89=0,ROW(),AQ89)/2000000</f>
        <v>6314.2864964157134</v>
      </c>
      <c r="AQ89" s="126">
        <f t="shared" si="37"/>
        <v>1564.26</v>
      </c>
      <c r="AR89" s="125" t="str">
        <f t="shared" si="50"/>
        <v>CDEFGIJ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Bosnia and Herzegovina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2014.2864534607143</v>
      </c>
      <c r="AQ90" s="126">
        <f t="shared" si="37"/>
        <v>1478.35</v>
      </c>
      <c r="AR90" s="125" t="str">
        <f t="shared" si="50"/>
        <v>CDEFGIJ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2 - 6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5</v>
      </c>
      <c r="AJ91" s="123">
        <f>VLOOKUP($AE91,$AE$8:$AQ$78,6,FALSE)</f>
        <v>5</v>
      </c>
      <c r="AK91" s="123" t="s">
        <v>3192</v>
      </c>
      <c r="AL91" s="123">
        <f>VLOOKUP($AE91,$AE$8:$AQ$78,8,FALSE)</f>
        <v>0</v>
      </c>
      <c r="AM91" s="123">
        <f t="shared" si="44"/>
        <v>5</v>
      </c>
      <c r="AN91" s="123">
        <f>VLOOKUP($AE91,$AE$8:$AQ$78,10,FALSE)</f>
        <v>3</v>
      </c>
      <c r="AP91" s="123">
        <f>AN91/AN92*10000+AM91/AM92*1000+AI91/AI92*100+IF(AQ91=0,ROW(),AQ91)/2000000</f>
        <v>6785.7149588692864</v>
      </c>
      <c r="AQ91" s="126">
        <f t="shared" si="37"/>
        <v>1346.31</v>
      </c>
      <c r="AR91" s="125" t="str">
        <f t="shared" si="50"/>
        <v>CDEFGIJL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7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38</v>
      </c>
      <c r="C3" s="121" t="str">
        <f>'2026 World Cup'!AR91</f>
        <v>CDEFGIJL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3J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C7E9AD-980A-4AA8-BB5F-9AF123A2054D}"/>
</file>

<file path=customXml/itemProps2.xml><?xml version="1.0" encoding="utf-8"?>
<ds:datastoreItem xmlns:ds="http://schemas.openxmlformats.org/officeDocument/2006/customXml" ds:itemID="{09E405F9-F6C0-49C9-9AA7-629C04EBA739}"/>
</file>

<file path=customXml/itemProps3.xml><?xml version="1.0" encoding="utf-8"?>
<ds:datastoreItem xmlns:ds="http://schemas.openxmlformats.org/officeDocument/2006/customXml" ds:itemID="{A47EBC6A-1A6C-4797-ABC3-8AF97E476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2026-06-16T11:52:12Z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