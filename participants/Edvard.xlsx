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vardnl\Downloads\"/>
    </mc:Choice>
  </mc:AlternateContent>
  <xr:revisionPtr revIDLastSave="0" documentId="8_{F68FF05B-66A1-4C1E-A4DC-94BCB21C4C2E}" xr6:coauthVersionLast="47" xr6:coauthVersionMax="47" xr10:uidLastSave="{00000000-0000-0000-0000-000000000000}"/>
  <bookViews>
    <workbookView xWindow="-120" yWindow="-120" windowWidth="518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T21" i="3"/>
  <c r="S42" i="3"/>
  <c r="S64" i="3"/>
  <c r="T41" i="3"/>
  <c r="S40" i="3"/>
  <c r="S62" i="3"/>
  <c r="T61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7" i="3" l="1"/>
  <c r="AP57" i="3" s="1"/>
  <c r="BI59" i="3"/>
  <c r="AP59" i="3" s="1"/>
  <c r="BI58" i="3"/>
  <c r="AP58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72" i="3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6" i="3" l="1"/>
  <c r="AD56" i="3" s="1"/>
  <c r="AR59" i="3"/>
  <c r="AR58" i="3"/>
  <c r="AD58" i="3" s="1"/>
  <c r="AR70" i="3"/>
  <c r="AR10" i="3"/>
  <c r="AR11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9" i="3"/>
  <c r="AD9" i="3" l="1"/>
  <c r="AD68" i="3"/>
  <c r="N69" i="3" s="1"/>
  <c r="AD34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M69" i="3" l="1"/>
  <c r="L71" i="3"/>
  <c r="J69" i="3"/>
  <c r="AS68" i="3" s="1"/>
  <c r="BL70" i="3" s="1"/>
  <c r="O69" i="3"/>
  <c r="L69" i="3"/>
  <c r="J33" i="3"/>
  <c r="AS32" i="3" s="1"/>
  <c r="BL10" i="3" s="1"/>
  <c r="L36" i="3"/>
  <c r="O70" i="3"/>
  <c r="J70" i="3"/>
  <c r="AS69" i="3" s="1"/>
  <c r="BL26" i="3" s="1"/>
  <c r="S86" i="3" s="1"/>
  <c r="T86" i="3" s="1" a="1"/>
  <c r="T86" i="3" s="1"/>
  <c r="O34" i="3"/>
  <c r="N70" i="3"/>
  <c r="M35" i="3"/>
  <c r="J72" i="3"/>
  <c r="L72" i="3"/>
  <c r="M70" i="3"/>
  <c r="L70" i="3"/>
  <c r="O72" i="3"/>
  <c r="N72" i="3"/>
  <c r="M72" i="3"/>
  <c r="O71" i="3"/>
  <c r="N36" i="3"/>
  <c r="J36" i="3"/>
  <c r="N71" i="3"/>
  <c r="N35" i="3"/>
  <c r="J71" i="3"/>
  <c r="AE90" i="3" s="1"/>
  <c r="AQ90" i="3" s="1"/>
  <c r="M71" i="3"/>
  <c r="O36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BS28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BS61" i="3" l="1"/>
  <c r="AN90" i="3"/>
  <c r="AJ90" i="3"/>
  <c r="P69" i="3"/>
  <c r="AH90" i="3"/>
  <c r="AI90" i="3"/>
  <c r="AF90" i="3"/>
  <c r="K69" i="3"/>
  <c r="AT90" i="3"/>
  <c r="P70" i="3"/>
  <c r="AL90" i="3"/>
  <c r="K71" i="3"/>
  <c r="P71" i="3"/>
  <c r="AG90" i="3"/>
  <c r="P34" i="3"/>
  <c r="P72" i="3"/>
  <c r="K70" i="3"/>
  <c r="K72" i="3"/>
  <c r="P12" i="3"/>
  <c r="P35" i="3"/>
  <c r="K36" i="3"/>
  <c r="P33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BS68" i="3" s="1"/>
  <c r="J3" i="4"/>
  <c r="BL71" i="3" s="1"/>
  <c r="I3" i="4"/>
  <c r="BL15" i="3" s="1"/>
  <c r="D3" i="4"/>
  <c r="BL51" i="3" s="1"/>
  <c r="BS52" i="3" s="1"/>
  <c r="BZ49" i="3" s="1"/>
  <c r="CG55" i="3" s="1"/>
  <c r="CN49" i="3" s="1"/>
  <c r="BS53" i="3"/>
  <c r="BS69" i="3"/>
  <c r="BZ65" i="3" s="1"/>
  <c r="CG56" i="3" s="1"/>
  <c r="CN38" i="3" s="1"/>
  <c r="S91" i="3" l="1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<sst xmlns="http://schemas.openxmlformats.org/spreadsheetml/2006/main" count="9786" uniqueCount="3698">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</sst>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36" zoomScaleNormal="100" workbookViewId="0">
      <selection activeCell="CT44" sqref="CT44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3</v>
      </c>
      <c r="AL8" s="123">
        <f>AI8-AJ8</f>
        <v>2</v>
      </c>
      <c r="AM8" s="123">
        <f>AL8-AL12</f>
        <v>7</v>
      </c>
      <c r="AN8" s="123">
        <f>AF8*3+AG8</f>
        <v>5</v>
      </c>
      <c r="AO8" s="123">
        <f>AN8/AN12*10+BA8</f>
        <v>6.25</v>
      </c>
      <c r="AP8" s="123">
        <f>AO8*10000000+BI8*100+AM8/AM12*10+AI8/AI12*1++IF(AQ8=0,ROW(),AQ8)/2000000</f>
        <v>62500008.611951627</v>
      </c>
      <c r="AQ8" s="126">
        <f>VLOOKUP(AE8,db_fifarank,2,FALSE)</f>
        <v>1681.03</v>
      </c>
      <c r="AR8" s="125">
        <f>AP8/AP12</f>
        <v>0.71428572517318822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5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8.1698847130764676E-12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2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5 - 3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2</v>
      </c>
      <c r="AL10" s="123">
        <f>AI10-AJ10</f>
        <v>3</v>
      </c>
      <c r="AM10" s="123">
        <f>AL10-AL12</f>
        <v>8</v>
      </c>
      <c r="AN10" s="123">
        <f>AF10*3+AG10</f>
        <v>7</v>
      </c>
      <c r="AO10" s="123">
        <f>AN10/AN12*10+BA10</f>
        <v>8.75</v>
      </c>
      <c r="AP10" s="123">
        <f>AO10*10000000+BI10*100+AM10/AM12*10+AI10/AI12*1++IF(AQ10=0,ROW(),AQ10)/2000000</f>
        <v>87500009.72301656</v>
      </c>
      <c r="AQ10" s="126">
        <f>VLOOKUP(AE10,db_fifarank,2,FALSE)</f>
        <v>1588.66</v>
      </c>
      <c r="AR10" s="125">
        <f>AP10/AP12</f>
        <v>0.99999998857143002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0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2 - 2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Haiti_draw</v>
      </c>
      <c r="T11" s="127" t="str">
        <f t="shared" si="2"/>
        <v>Scotland_draw</v>
      </c>
      <c r="U11" s="123">
        <f t="shared" si="8"/>
        <v>1</v>
      </c>
      <c r="V11" s="123">
        <f t="shared" si="3"/>
        <v>0</v>
      </c>
      <c r="W11" s="123">
        <f t="shared" si="4"/>
        <v>0</v>
      </c>
      <c r="X11" s="123">
        <f t="shared" si="9"/>
        <v>1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0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2</v>
      </c>
      <c r="AL11" s="123">
        <f>AI11-AJ11</f>
        <v>0</v>
      </c>
      <c r="AM11" s="123">
        <f>AL11-AL12</f>
        <v>5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50000005.889639579</v>
      </c>
      <c r="AQ11" s="126">
        <f>VLOOKUP(AE11,db_fifarank,2,FALSE)</f>
        <v>1501.38</v>
      </c>
      <c r="AR11" s="125">
        <f>AP11/AP12</f>
        <v>0.57142856871087511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Japan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0 - 5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6</v>
      </c>
      <c r="AL12" s="123">
        <f>MIN(AL8:AL11)</f>
        <v>-5</v>
      </c>
      <c r="AM12" s="123">
        <f>MAX(AM8:AM11)+1</f>
        <v>9</v>
      </c>
      <c r="AN12" s="123">
        <f>MAX(AN8:AN11)+1</f>
        <v>8</v>
      </c>
      <c r="AO12" s="123">
        <f>MAX(AO8:AO11)+1</f>
        <v>9.75</v>
      </c>
      <c r="AP12" s="123">
        <f>MAX(AP8:AP11)+1</f>
        <v>87500010.72301656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1</v>
      </c>
      <c r="AL14" s="123">
        <f>AI14-AJ14</f>
        <v>1</v>
      </c>
      <c r="AM14" s="123">
        <f>AL14-AL18</f>
        <v>2</v>
      </c>
      <c r="AN14" s="123">
        <f>AF14*3+AG14</f>
        <v>5</v>
      </c>
      <c r="AO14" s="123">
        <f>AN14/AN18*10+BA14</f>
        <v>9.3234323432343231</v>
      </c>
      <c r="AP14" s="123">
        <f>AO14*10000000+BI14*100+AM14/AM18*10+AI14/AI18*1++IF(AQ14=0,ROW(),AQ14)/2000000</f>
        <v>93234429.776355803</v>
      </c>
      <c r="AQ14" s="126">
        <f>VLOOKUP(AE14,db_fifarank,2,FALSE)</f>
        <v>1556.48</v>
      </c>
      <c r="AR14" s="125">
        <f>AP14/AP18</f>
        <v>0.99999998927434863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100</v>
      </c>
      <c r="BA14" s="126">
        <f>AZ14/AZ18</f>
        <v>0.99009900990099009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100</v>
      </c>
      <c r="BI14" s="126">
        <f>BH14/BH18</f>
        <v>0.99009900990099009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1</v>
      </c>
      <c r="M15" s="31">
        <f>VLOOKUP(1,AD14:AN17,4,FALSE)</f>
        <v>2</v>
      </c>
      <c r="N15" s="31">
        <f>VLOOKUP(1,AD14:AN17,5,FALSE)</f>
        <v>0</v>
      </c>
      <c r="O15" s="31" t="str">
        <f>VLOOKUP(1,AD14:AN17,6,FALSE) &amp; " - " &amp; VLOOKUP(1,AD14:AN17,7,FALSE)</f>
        <v>2 - 1</v>
      </c>
      <c r="P15" s="32">
        <f>L15*3+M15</f>
        <v>5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0</v>
      </c>
      <c r="AJ15" s="123">
        <f>SUMIF($E$7:$E$78,$AE15,$G$7:$G$78) + SUMIF($H$7:$H$78,$AE15,$F$7:$F$78)</f>
        <v>1</v>
      </c>
      <c r="AL15" s="123">
        <f>AI15-AJ15</f>
        <v>-1</v>
      </c>
      <c r="AM15" s="123">
        <f>AL15-AL18</f>
        <v>0</v>
      </c>
      <c r="AN15" s="123">
        <f>AF15*3+AG15</f>
        <v>2</v>
      </c>
      <c r="AO15" s="123">
        <f>AN15/AN18*10+BA15</f>
        <v>4.3234323432343231</v>
      </c>
      <c r="AP15" s="123">
        <f>AO15*10000000+BI15*100+AM15/AM18*10+AI15/AI18*1++IF(AQ15=0,ROW(),AQ15)/2000000</f>
        <v>43234422.442937136</v>
      </c>
      <c r="AQ15" s="126">
        <f>VLOOKUP(AE15,db_fifarank,2,FALSE)</f>
        <v>1385.84</v>
      </c>
      <c r="AR15" s="125">
        <f>AP15/AP18</f>
        <v>0.46371734221925831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100</v>
      </c>
      <c r="BA15" s="126">
        <f>AZ15/AZ18</f>
        <v>0.99009900990099009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100</v>
      </c>
      <c r="BI15" s="126">
        <f>BH15/BH18</f>
        <v>0.99009900990099009</v>
      </c>
      <c r="BK15" s="132"/>
      <c r="BL15" s="26" t="str">
        <f>IF(group_round_completed,VLOOKUP('3rd places'!I3,AK80:AS91,9,FALSE),"3rd Group C/D/F/G/H")</f>
        <v>Iran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1 - 0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2</v>
      </c>
      <c r="AL16" s="123">
        <f>AI16-AJ16</f>
        <v>-1</v>
      </c>
      <c r="AM16" s="123">
        <f>AL16-AL18</f>
        <v>0</v>
      </c>
      <c r="AN16" s="123">
        <f>AF16*3+AG16</f>
        <v>2</v>
      </c>
      <c r="AO16" s="123">
        <f>AN16/AN18*10+BA16</f>
        <v>4.3234323432343231</v>
      </c>
      <c r="AP16" s="123">
        <f>AO16*10000000+BI16*100+AM16/AM18*10+AI16/AI18*1++IF(AQ16=0,ROW(),AQ16)/2000000</f>
        <v>43234422.776305035</v>
      </c>
      <c r="AQ16" s="126">
        <f>VLOOKUP(AE16,db_fifarank,2,FALSE)</f>
        <v>1454.96</v>
      </c>
      <c r="AR16" s="125">
        <f>AP16/AP18</f>
        <v>0.46371734579484619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100</v>
      </c>
      <c r="BA16" s="126">
        <f>AZ16/AZ18</f>
        <v>0.99009900990099009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100</v>
      </c>
      <c r="BI16" s="126">
        <f>BH16/BH18</f>
        <v>0.99009900990099009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0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1 - 2</v>
      </c>
      <c r="P17" s="34">
        <f>L17*3+M17</f>
        <v>2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1</v>
      </c>
      <c r="AJ17" s="123">
        <f>SUMIF($E$7:$E$78,$AE17,$G$7:$G$78) + SUMIF($H$7:$H$78,$AE17,$F$7:$F$78)</f>
        <v>0</v>
      </c>
      <c r="AL17" s="123">
        <f>AI17-AJ17</f>
        <v>1</v>
      </c>
      <c r="AM17" s="123">
        <f>AL17-AL18</f>
        <v>2</v>
      </c>
      <c r="AN17" s="123">
        <f>AF17*3+AG17</f>
        <v>5</v>
      </c>
      <c r="AO17" s="123">
        <f>AN17/AN18*10+BA17</f>
        <v>9.3234323432343231</v>
      </c>
      <c r="AP17" s="123">
        <f>AO17*10000000+BI17*100+AM17/AM18*10+AI17/AI18*1++IF(AQ17=0,ROW(),AQ17)/2000000</f>
        <v>93234429.443068922</v>
      </c>
      <c r="AQ17" s="126">
        <f>VLOOKUP(AE17,db_fifarank,2,FALSE)</f>
        <v>1649.4</v>
      </c>
      <c r="AR17" s="125">
        <f>AP17/AP18</f>
        <v>0.99999998569962978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100</v>
      </c>
      <c r="BA17" s="126">
        <f>AZ17/AZ18</f>
        <v>0.99009900990099009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100</v>
      </c>
      <c r="BI17" s="126">
        <f>BH17/BH18</f>
        <v>0.99009900990099009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Brazil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3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2</v>
      </c>
      <c r="N18" s="36">
        <f>VLOOKUP(4,AD14:AN17,5,FALSE)</f>
        <v>1</v>
      </c>
      <c r="O18" s="36" t="str">
        <f>VLOOKUP(4,AD14:AN17,6,FALSE) &amp; " - " &amp; VLOOKUP(4,AD14:AN17,7,FALSE)</f>
        <v>0 - 1</v>
      </c>
      <c r="P18" s="37">
        <f>L18*3+M18</f>
        <v>2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2</v>
      </c>
      <c r="AG18" s="123">
        <f t="shared" si="13"/>
        <v>1</v>
      </c>
      <c r="AH18" s="123">
        <f t="shared" si="13"/>
        <v>2</v>
      </c>
      <c r="AI18" s="123">
        <f>MAX(AI14:AI17)+1</f>
        <v>3</v>
      </c>
      <c r="AL18" s="123">
        <f>MIN(AL14:AL17)</f>
        <v>-1</v>
      </c>
      <c r="AM18" s="123">
        <f>MAX(AM14:AM17)+1</f>
        <v>3</v>
      </c>
      <c r="AN18" s="123">
        <f>MAX(AN14:AN17)+1</f>
        <v>6</v>
      </c>
      <c r="AO18" s="123">
        <f>MAX(AO14:AO17)+1</f>
        <v>10.323432343234323</v>
      </c>
      <c r="AP18" s="123">
        <f>MAX(AP14:AP17)+1</f>
        <v>93234430.776355803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101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101</v>
      </c>
      <c r="BK18" s="131">
        <v>73</v>
      </c>
      <c r="BL18" s="24" t="str">
        <f>AS9</f>
        <v>Mexico</v>
      </c>
      <c r="BM18" s="61">
        <v>2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2</v>
      </c>
      <c r="AL20" s="123">
        <f>AI20-AJ20</f>
        <v>4</v>
      </c>
      <c r="AM20" s="123">
        <f>AL20-AL24</f>
        <v>8</v>
      </c>
      <c r="AN20" s="123">
        <f>AF20*3+AG20</f>
        <v>7</v>
      </c>
      <c r="AO20" s="123">
        <f>AN20/AN24*10+BA20</f>
        <v>9.7401639344262296</v>
      </c>
      <c r="AP20" s="123">
        <f>AO20*10000000+BI20*100+AM20/AM24*10+AI20/AI24*1++IF(AQ20=0,ROW(),AQ20)/2000000</f>
        <v>97401748.00042522</v>
      </c>
      <c r="AQ20" s="126">
        <f>VLOOKUP(AE20,db_fifarank,2,FALSE)</f>
        <v>1761.16</v>
      </c>
      <c r="AR20" s="125">
        <f>AP20/AP24</f>
        <v>0.99999998844992666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100.66666666666667</v>
      </c>
      <c r="BA20" s="126">
        <f>AZ20/AZ24</f>
        <v>0.99016393442622952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100.66666666666667</v>
      </c>
      <c r="BI20" s="126">
        <f>BH20/BH24</f>
        <v>0.99016393442622952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7 - 3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3</v>
      </c>
      <c r="AL21" s="123">
        <f>AI21-AJ21</f>
        <v>4</v>
      </c>
      <c r="AM21" s="123">
        <f>AL21-AL24</f>
        <v>8</v>
      </c>
      <c r="AN21" s="123">
        <f>AF21*3+AG21</f>
        <v>7</v>
      </c>
      <c r="AO21" s="123">
        <f>AN21/AN24*10+BA21</f>
        <v>9.7401639344262296</v>
      </c>
      <c r="AP21" s="123">
        <f>AO21*10000000+BI21*100+AM21/AM24*10+AI21/AI24*1++IF(AQ21=0,ROW(),AQ21)/2000000</f>
        <v>97401748.125422567</v>
      </c>
      <c r="AQ21" s="126">
        <f>VLOOKUP(AE21,db_fifarank,2,FALSE)</f>
        <v>1755.87</v>
      </c>
      <c r="AR21" s="125">
        <f>AP21/AP24</f>
        <v>0.99999998973324389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100.66666666666667</v>
      </c>
      <c r="BA21" s="126">
        <f>AZ21/AZ24</f>
        <v>0.99016393442622952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100.66666666666667</v>
      </c>
      <c r="BI21" s="126">
        <f>BH21/BH24</f>
        <v>0.99016393442622952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Brazil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0</v>
      </c>
      <c r="G22" s="20">
        <v>0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6 - 2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3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5</v>
      </c>
      <c r="AL22" s="123">
        <f>AI22-AJ22</f>
        <v>-4</v>
      </c>
      <c r="AM22" s="123">
        <f>AL22-AL24</f>
        <v>0</v>
      </c>
      <c r="AN22" s="123">
        <f>AF22*3+AG22</f>
        <v>1</v>
      </c>
      <c r="AO22" s="123">
        <f>AN22/AN24*10+BA22</f>
        <v>2.2336065573770494</v>
      </c>
      <c r="AP22" s="123">
        <f>AO22*10000000+BI22*100+AM22/AM24*10+AI22/AI24*1++IF(AQ22=0,ROW(),AQ22)/2000000</f>
        <v>22336164.060072083</v>
      </c>
      <c r="AQ22" s="126">
        <f>VLOOKUP(AE22,db_fifarank,2,FALSE)</f>
        <v>1291.71</v>
      </c>
      <c r="AR22" s="125">
        <f>AP22/AP24</f>
        <v>0.22931994815935169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1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100</v>
      </c>
      <c r="BA22" s="126">
        <f>AZ22/AZ24</f>
        <v>0.98360655737704916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1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100</v>
      </c>
      <c r="BI22" s="126">
        <f>BH22/BH24</f>
        <v>0.98360655737704916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Haiti</v>
      </c>
      <c r="K23" s="23">
        <f>L23+M23+N23</f>
        <v>3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2</v>
      </c>
      <c r="O23" s="23" t="str">
        <f>VLOOKUP(3,AD20:AN23,6,FALSE) &amp; " - " &amp; VLOOKUP(3,AD20:AN23,7,FALSE)</f>
        <v>1 - 5</v>
      </c>
      <c r="P23" s="34">
        <f>L23*3+M23</f>
        <v>1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4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1</v>
      </c>
      <c r="AH23" s="123">
        <f>COUNTIF($S$7:$T$78,"=" &amp; AE23 &amp; "_lose")</f>
        <v>2</v>
      </c>
      <c r="AI23" s="123">
        <f>SUMIF($E$7:$E$78,$AE23,$F$7:$F$78) + SUMIF($H$7:$H$78,$AE23,$G$7:$G$78)</f>
        <v>0</v>
      </c>
      <c r="AJ23" s="123">
        <f>SUMIF($E$7:$E$78,$AE23,$G$7:$G$78) + SUMIF($H$7:$H$78,$AE23,$F$7:$F$78)</f>
        <v>4</v>
      </c>
      <c r="AL23" s="123">
        <f>AI23-AJ23</f>
        <v>-4</v>
      </c>
      <c r="AM23" s="123">
        <f>AL23-AL24</f>
        <v>0</v>
      </c>
      <c r="AN23" s="123">
        <f>AF23*3+AG23</f>
        <v>1</v>
      </c>
      <c r="AO23" s="123">
        <f>AN23/AN24*10+BA23</f>
        <v>2.2336065573770494</v>
      </c>
      <c r="AP23" s="123">
        <f>AO23*10000000+BI23*100+AM23/AM24*10+AI23/AI24*1++IF(AQ23=0,ROW(),AQ23)/2000000</f>
        <v>22336163.935175404</v>
      </c>
      <c r="AQ23" s="126">
        <f>VLOOKUP(AE23,db_fifarank,2,FALSE)</f>
        <v>1498.35</v>
      </c>
      <c r="AR23" s="125">
        <f>AP23/AP24</f>
        <v>0.22931994687706797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100</v>
      </c>
      <c r="BA23" s="126">
        <f>AZ23/AZ24</f>
        <v>0.98360655737704916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100</v>
      </c>
      <c r="BI23" s="126">
        <f>BH23/BH24</f>
        <v>0.98360655737704916</v>
      </c>
      <c r="BK23" s="132"/>
      <c r="BL23" s="26" t="str">
        <f>AS21</f>
        <v>Brazil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Scotland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0 - 4</v>
      </c>
      <c r="P24" s="37">
        <f>L24*3+M24</f>
        <v>1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1</v>
      </c>
      <c r="AH24" s="123">
        <f t="shared" si="14"/>
        <v>3</v>
      </c>
      <c r="AI24" s="123">
        <f>MAX(AI20:AI23)+1</f>
        <v>8</v>
      </c>
      <c r="AL24" s="123">
        <f>MIN(AL20:AL23)</f>
        <v>-4</v>
      </c>
      <c r="AM24" s="123">
        <f>MAX(AM20:AM23)+1</f>
        <v>9</v>
      </c>
      <c r="AN24" s="123">
        <f>MAX(AN20:AN23)+1</f>
        <v>8</v>
      </c>
      <c r="AO24" s="123">
        <f>MAX(AO20:AO23)+1</f>
        <v>10.74016393442623</v>
      </c>
      <c r="AP24" s="123">
        <f>MAX(AP20:AP23)+1</f>
        <v>97401749.125422567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101.66666666666667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101.66666666666667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1</v>
      </c>
      <c r="AH26" s="123">
        <f>COUNTIF($S$7:$T$78,"=" &amp; AE26 &amp; "_lose")</f>
        <v>2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8</v>
      </c>
      <c r="AL26" s="123">
        <f>AI26-AJ26</f>
        <v>-2</v>
      </c>
      <c r="AM26" s="123">
        <f>AL26-AL30</f>
        <v>2</v>
      </c>
      <c r="AN26" s="123">
        <f>AF26*3+AG26</f>
        <v>1</v>
      </c>
      <c r="AO26" s="123">
        <f>AN26/AN30*10+BA26</f>
        <v>2.2402439024390244</v>
      </c>
      <c r="AP26" s="123">
        <f>AO26*10000000+BI26*100+AM26/AM30*10+AI26/AI30*1++IF(AQ26=0,ROW(),AQ26)/2000000</f>
        <v>22402540.938505944</v>
      </c>
      <c r="AQ26" s="126">
        <f>VLOOKUP(AE26,db_fifarank,2,FALSE)</f>
        <v>1673.13</v>
      </c>
      <c r="AR26" s="125">
        <f>AP26/AP30</f>
        <v>0.23011478068954572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3</v>
      </c>
      <c r="AW26" s="126" cm="1">
        <f t="array" ref="AW26">SUMPRODUCT(($E$7:$E$78=AE26)*($U$7:$U$78)*($G$7:$G$78))+SUMPRODUCT(($H$7:$H$78=AE26)*($U$7:$U$78)*($F$7:$F$78))</f>
        <v>3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101.5</v>
      </c>
      <c r="BA26" s="126">
        <f>AZ26/AZ30</f>
        <v>0.99024390243902438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3</v>
      </c>
      <c r="BE26" s="126" cm="1">
        <f t="array" ref="BE26">SUMPRODUCT(($E$7:$E$78=AE26)*($X$7:$X$78)*($G$7:$G$78))+SUMPRODUCT(($H$7:$H$78=AE26)*($X$7:$X$78)*($F$7:$F$78))</f>
        <v>3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101.5</v>
      </c>
      <c r="BI26" s="126">
        <f>BH26/BH30</f>
        <v>0.99024390243902438</v>
      </c>
      <c r="BK26" s="131">
        <v>83</v>
      </c>
      <c r="BL26" s="24" t="str">
        <f>AS69</f>
        <v>Colombia</v>
      </c>
      <c r="BM26" s="61">
        <v>1</v>
      </c>
      <c r="BN26" s="63">
        <v>1</v>
      </c>
      <c r="BO26" s="25">
        <v>0</v>
      </c>
      <c r="BP26" s="112">
        <f>IF(OR(BM26="",BM27="",AND(BN26="",BN27&lt;&gt;""),AND(BN27="",BN26&lt;&gt;""),AND(BO26="",BO27&lt;&gt;""),AND(BO27="",BO26&lt;&gt;"")),"",BM26*1000+BN26*10+BO26)</f>
        <v>1010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8 - 4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1</v>
      </c>
      <c r="AH27" s="123">
        <f>COUNTIF($S$7:$T$78,"=" &amp; AE27 &amp; "_lose")</f>
        <v>0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3</v>
      </c>
      <c r="AL27" s="123">
        <f>AI27-AJ27</f>
        <v>2</v>
      </c>
      <c r="AM27" s="123">
        <f>AL27-AL30</f>
        <v>6</v>
      </c>
      <c r="AN27" s="123">
        <f>AF27*3+AG27</f>
        <v>7</v>
      </c>
      <c r="AO27" s="123">
        <f>AN27/AN30*10+BA27</f>
        <v>9.7353658536585357</v>
      </c>
      <c r="AP27" s="123">
        <f>AO27*10000000+BI27*100+AM27/AM30*10+AI27/AI30*1++IF(AQ27=0,ROW(),AQ27)/2000000</f>
        <v>97353764.296144694</v>
      </c>
      <c r="AQ27" s="126">
        <f>VLOOKUP(AE27,db_fifarank,2,FALSE)</f>
        <v>1503.5</v>
      </c>
      <c r="AR27" s="125">
        <f>AP27/AP30</f>
        <v>0.99999996347749631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101</v>
      </c>
      <c r="BA27" s="126">
        <f>AZ27/AZ30</f>
        <v>0.98536585365853657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2</v>
      </c>
      <c r="BE27" s="126" cm="1">
        <f t="array" ref="BE27">SUMPRODUCT(($E$7:$E$78=AE27)*($X$7:$X$78)*($G$7:$G$78))+SUMPRODUCT(($H$7:$H$78=AE27)*($X$7:$X$78)*($F$7:$F$78))</f>
        <v>2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101</v>
      </c>
      <c r="BI27" s="126">
        <f>BH27/BH30</f>
        <v>0.98536585365853657</v>
      </c>
      <c r="BK27" s="132"/>
      <c r="BL27" s="26" t="str">
        <f>AS75</f>
        <v>Croatia</v>
      </c>
      <c r="BM27" s="62">
        <v>1</v>
      </c>
      <c r="BN27" s="64">
        <v>0</v>
      </c>
      <c r="BO27" s="27">
        <v>0</v>
      </c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5 - 3</v>
      </c>
      <c r="P28" s="34">
        <f>L28*3+M28</f>
        <v>7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7</v>
      </c>
      <c r="AL28" s="123">
        <f>AI28-AJ28</f>
        <v>-4</v>
      </c>
      <c r="AM28" s="123">
        <f>AL28-AL30</f>
        <v>0</v>
      </c>
      <c r="AN28" s="123">
        <f>AF28*3+AG28</f>
        <v>1</v>
      </c>
      <c r="AO28" s="123">
        <f>AN28/AN30*10+BA28</f>
        <v>2.2402439024390244</v>
      </c>
      <c r="AP28" s="123">
        <f>AO28*10000000+BI28*100+AM28/AM30*10+AI28/AI30*1++IF(AQ28=0,ROW(),AQ28)/2000000</f>
        <v>22402538.382904153</v>
      </c>
      <c r="AQ28" s="126">
        <f>VLOOKUP(AE28,db_fifarank,2,FALSE)</f>
        <v>1580.67</v>
      </c>
      <c r="AR28" s="125">
        <f>AP28/AP30</f>
        <v>0.23011475443887408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3</v>
      </c>
      <c r="AW28" s="126" cm="1">
        <f t="array" ref="AW28">SUMPRODUCT(($E$7:$E$78=AE28)*($U$7:$U$78)*($G$7:$G$78))+SUMPRODUCT(($H$7:$H$78=AE28)*($U$7:$U$78)*($F$7:$F$78))</f>
        <v>3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101.5</v>
      </c>
      <c r="BA28" s="126">
        <f>AZ28/AZ30</f>
        <v>0.99024390243902438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3</v>
      </c>
      <c r="BE28" s="126" cm="1">
        <f t="array" ref="BE28">SUMPRODUCT(($E$7:$E$78=AE28)*($X$7:$X$78)*($G$7:$G$78))+SUMPRODUCT(($H$7:$H$78=AE28)*($X$7:$X$78)*($F$7:$F$78))</f>
        <v>3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101.5</v>
      </c>
      <c r="BI28" s="126">
        <f>BH28/BH30</f>
        <v>0.99024390243902438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6 - 8</v>
      </c>
      <c r="P29" s="34">
        <f>L29*3+M29</f>
        <v>1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8</v>
      </c>
      <c r="AJ29" s="123">
        <f>SUMIF($E$7:$E$78,$AE29,$G$7:$G$78) + SUMIF($H$7:$H$78,$AE29,$F$7:$F$78)</f>
        <v>4</v>
      </c>
      <c r="AL29" s="123">
        <f>AI29-AJ29</f>
        <v>4</v>
      </c>
      <c r="AM29" s="123">
        <f>AL29-AL30</f>
        <v>8</v>
      </c>
      <c r="AN29" s="123">
        <f>AF29*3+AG29</f>
        <v>7</v>
      </c>
      <c r="AO29" s="123">
        <f>AN29/AN30*10+BA29</f>
        <v>9.7353658536585357</v>
      </c>
      <c r="AP29" s="123">
        <f>AO29*10000000+BI29*100+AM29/AM30*10+AI29/AI30*1++IF(AQ29=0,ROW(),AQ29)/2000000</f>
        <v>97353766.851748034</v>
      </c>
      <c r="AQ29" s="126">
        <f>VLOOKUP(AE29,db_fifarank,2,FALSE)</f>
        <v>1599.04</v>
      </c>
      <c r="AR29" s="125">
        <f>AP29/AP30</f>
        <v>0.99999998972818394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101</v>
      </c>
      <c r="BA29" s="126">
        <f>AZ29/AZ30</f>
        <v>0.98536585365853657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101</v>
      </c>
      <c r="BI29" s="126">
        <f>BH29/BH30</f>
        <v>0.98536585365853657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3 - 7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9</v>
      </c>
      <c r="AL30" s="123">
        <f>MIN(AL26:AL29)</f>
        <v>-4</v>
      </c>
      <c r="AM30" s="123">
        <f>MAX(AM26:AM29)+1</f>
        <v>9</v>
      </c>
      <c r="AN30" s="123">
        <f>MAX(AN26:AN29)+1</f>
        <v>8</v>
      </c>
      <c r="AO30" s="123">
        <f>MAX(AO26:AO29)+1</f>
        <v>10.735365853658536</v>
      </c>
      <c r="AP30" s="123">
        <f>MAX(AP26:AP29)+1</f>
        <v>97353767.851748034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102.5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102.5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0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90000010.284956098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8</v>
      </c>
      <c r="AL33" s="123">
        <f>AI33-AJ33</f>
        <v>-7</v>
      </c>
      <c r="AM33" s="123">
        <f>AL33-AL36</f>
        <v>0</v>
      </c>
      <c r="AN33" s="123">
        <f>AF33*3+AG33</f>
        <v>1</v>
      </c>
      <c r="AO33" s="123">
        <f>AN33/AN36*10+BA33</f>
        <v>1.9805825242718447</v>
      </c>
      <c r="AP33" s="123">
        <f>AO33*10000000+BI33*100+AM33/AM36*10+AI33/AI36*1++IF(AQ33=0,ROW(),AQ33)/2000000</f>
        <v>19805923.39252729</v>
      </c>
      <c r="AQ33" s="126">
        <f>VLOOKUP(AE33,db_fifarank,2,FALSE)</f>
        <v>1294.6500000000001</v>
      </c>
      <c r="AR33" s="125">
        <f>AP33/AP36</f>
        <v>0.22006578787882816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50.5</v>
      </c>
      <c r="BA33" s="126">
        <f>AZ33/AZ36</f>
        <v>0.98058252427184467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50.5</v>
      </c>
      <c r="BI33" s="126">
        <f>BH33/BH36</f>
        <v>0.98058252427184467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6 - 2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7</v>
      </c>
      <c r="AL34" s="123">
        <f>AI34-AJ34</f>
        <v>-5</v>
      </c>
      <c r="AM34" s="123">
        <f>AL34-AL36</f>
        <v>2</v>
      </c>
      <c r="AN34" s="123">
        <f>AF34*3+AG34</f>
        <v>1</v>
      </c>
      <c r="AO34" s="123">
        <f>AN34/AN36*10+BA34</f>
        <v>1.9805825242718447</v>
      </c>
      <c r="AP34" s="123">
        <f>AO34*10000000+BI34*100+AM34/AM36*10+AI34/AI36*1++IF(AQ34=0,ROW(),AQ34)/2000000</f>
        <v>19805924.733555548</v>
      </c>
      <c r="AQ34" s="126">
        <f>VLOOKUP(AE34,db_fifarank,2,FALSE)</f>
        <v>1532.98</v>
      </c>
      <c r="AR34" s="125">
        <f>AP34/AP36</f>
        <v>0.22006580277914028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2 - 7</v>
      </c>
      <c r="P35" s="34">
        <f>L35*3+M35</f>
        <v>1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2</v>
      </c>
      <c r="AL35" s="123">
        <f>AI35-AJ35</f>
        <v>4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60000007.421251938</v>
      </c>
      <c r="AQ35" s="126">
        <f>VLOOKUP(AE35,db_fifarank,2,FALSE)</f>
        <v>1594.78</v>
      </c>
      <c r="AR35" s="125">
        <f>AP35/AP36</f>
        <v>0.66666666553275433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1 - 8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11</v>
      </c>
      <c r="AL36" s="123">
        <f>MIN(AL32:AL35)</f>
        <v>-7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90000011.284956098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3</v>
      </c>
      <c r="G37" s="20">
        <v>3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1</v>
      </c>
      <c r="V37" s="123">
        <f t="shared" si="3"/>
        <v>3</v>
      </c>
      <c r="W37" s="123">
        <f t="shared" si="4"/>
        <v>3</v>
      </c>
      <c r="X37" s="123">
        <f t="shared" si="9"/>
        <v>1</v>
      </c>
      <c r="Y37" s="123">
        <f t="shared" si="10"/>
        <v>3</v>
      </c>
      <c r="Z37" s="123">
        <f t="shared" si="11"/>
        <v>3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Czech Republic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4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4000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2</v>
      </c>
      <c r="W38" s="123">
        <f t="shared" si="4"/>
        <v>2</v>
      </c>
      <c r="X38" s="123">
        <f t="shared" si="9"/>
        <v>1</v>
      </c>
      <c r="Y38" s="123">
        <f t="shared" si="10"/>
        <v>2</v>
      </c>
      <c r="Z38" s="123">
        <f t="shared" si="11"/>
        <v>2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1</v>
      </c>
      <c r="AL38" s="123">
        <f>AI38-AJ38</f>
        <v>4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90000009.834212258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Egypt</v>
      </c>
      <c r="BM38" s="61">
        <v>1</v>
      </c>
      <c r="BN38" s="63">
        <v>0</v>
      </c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4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2</v>
      </c>
      <c r="AL39" s="123">
        <f>AI39-AJ39</f>
        <v>0</v>
      </c>
      <c r="AM39" s="123">
        <f>AL39-AL42</f>
        <v>5</v>
      </c>
      <c r="AN39" s="123">
        <f>AF39*3+AG39</f>
        <v>4</v>
      </c>
      <c r="AO39" s="123">
        <f>AN39/AN42*10+BA39</f>
        <v>4.9805825242718447</v>
      </c>
      <c r="AP39" s="123">
        <f>AO39*10000000+BI39*100+AM39/AM42*10+AI39/AI42*1++IF(AQ39=0,ROW(),AQ39)/2000000</f>
        <v>49805928.635134421</v>
      </c>
      <c r="AQ39" s="126">
        <f>VLOOKUP(AE39,db_fifarank,2,FALSE)</f>
        <v>1660.43</v>
      </c>
      <c r="AR39" s="125">
        <f>AP39/AP42</f>
        <v>0.55339914043878524</v>
      </c>
      <c r="AS39" s="125" t="str">
        <f>IF(SUM(AF38:AH41)=12,J40,"2F")</f>
        <v>Tunisia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>
        <v>1</v>
      </c>
      <c r="BO39" s="27"/>
      <c r="BP39" s="112">
        <f>IF(BP38="","",BM39*1000+BN39*10+BO39)</f>
        <v>1010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Tunisia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5 - 4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3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6</v>
      </c>
      <c r="AL40" s="123">
        <f>AI40-AJ40</f>
        <v>-5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0.16742405166666666</v>
      </c>
      <c r="AQ40" s="126">
        <f>VLOOKUP(AE40,db_fifarank,2,FALSE)</f>
        <v>1514.77</v>
      </c>
      <c r="AR40" s="125">
        <f>AP40/AP42</f>
        <v>1.8602670168015438E-9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2 - 2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2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1</v>
      </c>
      <c r="AH41" s="123">
        <f>COUNTIF($S$7:$T$78,"=" &amp; AE41 &amp; "_lose")</f>
        <v>1</v>
      </c>
      <c r="AI41" s="123">
        <f>SUMIF($E$7:$E$78,$AE41,$F$7:$F$78) + SUMIF($H$7:$H$78,$AE41,$G$7:$G$78)</f>
        <v>5</v>
      </c>
      <c r="AJ41" s="123">
        <f>SUMIF($E$7:$E$78,$AE41,$G$7:$G$78) + SUMIF($H$7:$H$78,$AE41,$F$7:$F$78)</f>
        <v>4</v>
      </c>
      <c r="AL41" s="123">
        <f>AI41-AJ41</f>
        <v>1</v>
      </c>
      <c r="AM41" s="123">
        <f>AL41-AL42</f>
        <v>6</v>
      </c>
      <c r="AN41" s="123">
        <f>AF41*3+AG41</f>
        <v>4</v>
      </c>
      <c r="AO41" s="123">
        <f>AN41/AN42*10+BA41</f>
        <v>4.9805825242718447</v>
      </c>
      <c r="AP41" s="123">
        <f>AO41*10000000+BI41*100+AM41/AM42*10+AI41/AI42*1++IF(AQ41=0,ROW(),AQ41)/2000000</f>
        <v>49805930.13504573</v>
      </c>
      <c r="AQ41" s="126">
        <f>VLOOKUP(AE41,db_fifarank,2,FALSE)</f>
        <v>1483.05</v>
      </c>
      <c r="AR41" s="125">
        <f>AP41/AP42</f>
        <v>0.55339915710446441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1 - 6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1</v>
      </c>
      <c r="V42" s="123">
        <f t="shared" si="3"/>
        <v>1</v>
      </c>
      <c r="W42" s="123">
        <f t="shared" si="4"/>
        <v>1</v>
      </c>
      <c r="X42" s="123">
        <f t="shared" si="9"/>
        <v>1</v>
      </c>
      <c r="Y42" s="123">
        <f t="shared" si="10"/>
        <v>1</v>
      </c>
      <c r="Z42" s="123">
        <f t="shared" si="11"/>
        <v>1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6</v>
      </c>
      <c r="AL42" s="123">
        <f>MIN(AL38:AL41)</f>
        <v>-5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90000010.834212258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Morocco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1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Tunisia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1</v>
      </c>
      <c r="AG44" s="123">
        <f>COUNTIF($S$7:$T$78,"=" &amp; AE44 &amp; "_draw")</f>
        <v>2</v>
      </c>
      <c r="AH44" s="123">
        <f>COUNTIF($S$7:$T$78,"=" &amp; AE44 &amp; "_lose")</f>
        <v>0</v>
      </c>
      <c r="AI44" s="123">
        <f>SUMIF($E$7:$E$78,$AE44,$F$7:$F$78) + SUMIF($H$7:$H$78,$AE44,$G$7:$G$78)</f>
        <v>1</v>
      </c>
      <c r="AJ44" s="123">
        <f>SUMIF($E$7:$E$78,$AE44,$G$7:$G$78) + SUMIF($H$7:$H$78,$AE44,$F$7:$F$78)</f>
        <v>0</v>
      </c>
      <c r="AL44" s="123">
        <f>AI44-AJ44</f>
        <v>1</v>
      </c>
      <c r="AM44" s="123">
        <f>AL44-AL48</f>
        <v>3</v>
      </c>
      <c r="AN44" s="123">
        <f>AF44*3+AG44</f>
        <v>5</v>
      </c>
      <c r="AO44" s="123">
        <f>AN44/AN48*10+BA44</f>
        <v>6.25</v>
      </c>
      <c r="AP44" s="123">
        <f>AO44*10000000+BI44*100+AM44/AM48*10+AI44/AI48*1++IF(AQ44=0,ROW(),AQ44)/2000000</f>
        <v>62500006.334200688</v>
      </c>
      <c r="AQ44" s="126">
        <f>VLOOKUP(AE44,db_fifarank,2,FALSE)</f>
        <v>1734.71</v>
      </c>
      <c r="AR44" s="125">
        <f>AP44/AP48</f>
        <v>0.71428570775863476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Morocco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0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2 - 0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0</v>
      </c>
      <c r="AL45" s="123">
        <f>AI45-AJ45</f>
        <v>2</v>
      </c>
      <c r="AM45" s="123">
        <f>AL45-AL48</f>
        <v>4</v>
      </c>
      <c r="AN45" s="123">
        <f>AF45*3+AG45</f>
        <v>7</v>
      </c>
      <c r="AO45" s="123">
        <f>AN45/AN48*10+BA45</f>
        <v>8.75</v>
      </c>
      <c r="AP45" s="123">
        <f>AO45*10000000+BI45*100+AM45/AM48*10+AI45/AI48*1++IF(AQ45=0,ROW(),AQ45)/2000000</f>
        <v>87500008.667448297</v>
      </c>
      <c r="AQ45" s="126">
        <f>VLOOKUP(AE45,db_fifarank,2,FALSE)</f>
        <v>1563.24</v>
      </c>
      <c r="AR45" s="125">
        <f>AP45/AP48</f>
        <v>0.9999999885714298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Senegal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1 - 0</v>
      </c>
      <c r="P46" s="34">
        <f>L46*3+M46</f>
        <v>5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2</v>
      </c>
      <c r="AL46" s="123">
        <f>AI46-AJ46</f>
        <v>-1</v>
      </c>
      <c r="AM46" s="123">
        <f>AL46-AL48</f>
        <v>1</v>
      </c>
      <c r="AN46" s="123">
        <f>AF46*3+AG46</f>
        <v>2</v>
      </c>
      <c r="AO46" s="123">
        <f>AN46/AN48*10+BA46</f>
        <v>2.5</v>
      </c>
      <c r="AP46" s="123">
        <f>AO46*10000000+BI46*100+AM46/AM48*10+AI46/AI48*1++IF(AQ46=0,ROW(),AQ46)/2000000</f>
        <v>25000002.334140982</v>
      </c>
      <c r="AQ46" s="126">
        <f>VLOOKUP(AE46,db_fifarank,2,FALSE)</f>
        <v>1615.3</v>
      </c>
      <c r="AR46" s="125">
        <f>AP46/AP48</f>
        <v>0.2857142808230051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1 - 2</v>
      </c>
      <c r="P47" s="34">
        <f>L47*3+M47</f>
        <v>2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2</v>
      </c>
      <c r="W47" s="123">
        <f t="shared" ref="W47:W78" si="22">U47*G47</f>
        <v>2</v>
      </c>
      <c r="X47" s="123">
        <f t="shared" si="9"/>
        <v>1</v>
      </c>
      <c r="Y47" s="123">
        <f t="shared" si="10"/>
        <v>2</v>
      </c>
      <c r="Z47" s="123">
        <f t="shared" si="11"/>
        <v>2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3</v>
      </c>
      <c r="AL47" s="123">
        <f>AI47-AJ47</f>
        <v>-2</v>
      </c>
      <c r="AM47" s="123">
        <f>AL47-AL48</f>
        <v>0</v>
      </c>
      <c r="AN47" s="123">
        <f>AF47*3+AG47</f>
        <v>1</v>
      </c>
      <c r="AO47" s="123">
        <f>AN47/AN48*10+BA47</f>
        <v>1.25</v>
      </c>
      <c r="AP47" s="123">
        <f>AO47*10000000+BI47*100+AM47/AM48*10+AI47/AI48*1++IF(AQ47=0,ROW(),AQ47)/2000000</f>
        <v>12500000.333974119</v>
      </c>
      <c r="AQ47" s="126">
        <f>VLOOKUP(AE47,db_fifarank,2,FALSE)</f>
        <v>1281.57</v>
      </c>
      <c r="AR47" s="125">
        <f>AP47/AP48</f>
        <v>0.1428571308904022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5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1 - 3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3</v>
      </c>
      <c r="AI48" s="123">
        <f>MAX(AI44:AI47)+1</f>
        <v>3</v>
      </c>
      <c r="AL48" s="123">
        <f>MIN(AL44:AL47)</f>
        <v>-2</v>
      </c>
      <c r="AM48" s="123">
        <f>MAX(AM44:AM47)+1</f>
        <v>5</v>
      </c>
      <c r="AN48" s="123">
        <f>MAX(AN44:AN47)+1</f>
        <v>8</v>
      </c>
      <c r="AO48" s="123">
        <f>MAX(AO44:AO47)+1</f>
        <v>9.75</v>
      </c>
      <c r="AP48" s="123">
        <f>MAX(AP44:AP47)+1</f>
        <v>87500009.667448297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Senegal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Norway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Norway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90000010.131707445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0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6</v>
      </c>
      <c r="AL51" s="123">
        <f>AI51-AJ51</f>
        <v>-4</v>
      </c>
      <c r="AM51" s="123">
        <f>AL51-AL54</f>
        <v>1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19805924.270884708</v>
      </c>
      <c r="AQ51" s="126">
        <f>VLOOKUP(AE51,db_fifarank,2,FALSE)</f>
        <v>1366.13</v>
      </c>
      <c r="AR51" s="125">
        <f>AP51/AP54</f>
        <v>0.2200657980130736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Norway</v>
      </c>
      <c r="BM51" s="62">
        <v>2</v>
      </c>
      <c r="BN51" s="64"/>
      <c r="BO51" s="27"/>
      <c r="BP51" s="113">
        <f>IF(BP50="","",BM51*1000+BN51*10+BO51)</f>
        <v>2000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1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0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19805923.401681591</v>
      </c>
      <c r="AQ52" s="126">
        <f>VLOOKUP(AE52,db_fifarank,2,FALSE)</f>
        <v>1421.43</v>
      </c>
      <c r="AR52" s="125">
        <f>AP52/AP54</f>
        <v>0.22006578835526241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Norway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2 - 6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60000005.785451919</v>
      </c>
      <c r="AQ53" s="126">
        <f>VLOOKUP(AE53,db_fifarank,2,FALSE)</f>
        <v>1673.07</v>
      </c>
      <c r="AR53" s="125">
        <f>AP53/AP54</f>
        <v>0.66666664849237578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Ghana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2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10</v>
      </c>
      <c r="AL54" s="123">
        <f>MIN(AL50:AL53)</f>
        <v>-5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90000011.131707445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Ghana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Norway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11</v>
      </c>
      <c r="AJ56" s="123">
        <f>SUMIF($E$7:$E$78,$AE56,$G$7:$G$78) + SUMIF($H$7:$H$78,$AE56,$F$7:$F$78)</f>
        <v>4</v>
      </c>
      <c r="AL56" s="123">
        <f>AI56-AJ56</f>
        <v>7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90000010.250938654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3</v>
      </c>
      <c r="CI56" s="64"/>
      <c r="CJ56" s="27"/>
      <c r="CK56" s="112">
        <f>IF(CK55="","",CH56*1000+CI56*10+CJ56)</f>
        <v>3000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0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11 - 4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0</v>
      </c>
      <c r="W57" s="123">
        <f t="shared" si="22"/>
        <v>0</v>
      </c>
      <c r="X57" s="123">
        <f t="shared" si="9"/>
        <v>1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5</v>
      </c>
      <c r="AL57" s="123">
        <f>AI57-AJ57</f>
        <v>1</v>
      </c>
      <c r="AM57" s="123">
        <f>AL57-AL60</f>
        <v>8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49806555.511597179</v>
      </c>
      <c r="AQ57" s="126">
        <f>VLOOKUP(AE57,db_fifarank,2,FALSE)</f>
        <v>1688.99</v>
      </c>
      <c r="AR57" s="125">
        <f>AP57/AP60</f>
        <v>0.55340610316954508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6 - 5</v>
      </c>
      <c r="P58" s="34">
        <f>L58*3+M58</f>
        <v>4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0</v>
      </c>
      <c r="W58" s="123">
        <f t="shared" si="22"/>
        <v>0</v>
      </c>
      <c r="X58" s="123">
        <f t="shared" si="9"/>
        <v>1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9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0.16739023666666666</v>
      </c>
      <c r="AQ58" s="126">
        <f>VLOOKUP(AE58,db_fifarank,2,FALSE)</f>
        <v>1447.14</v>
      </c>
      <c r="AR58" s="125">
        <f>AP58/AP60</f>
        <v>1.8598912860127101E-9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>
        <v>0</v>
      </c>
      <c r="BO58" s="25">
        <v>1</v>
      </c>
      <c r="BP58" s="112">
        <f>IF(OR(BM58="",BM59="",AND(BN58="",BN59&lt;&gt;""),AND(BN59="",BN58&lt;&gt;""),AND(BO58="",BO59&lt;&gt;""),AND(BO59="",BO58&lt;&gt;"")),"",BM58*1000+BN58*10+BO58)</f>
        <v>2001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5 - 6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6</v>
      </c>
      <c r="AL59" s="123">
        <f>AI59-AJ59</f>
        <v>-1</v>
      </c>
      <c r="AM59" s="123">
        <f>AL59-AL60</f>
        <v>6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49806554.094861485</v>
      </c>
      <c r="AQ59" s="126">
        <f>VLOOKUP(AE59,db_fifarank,2,FALSE)</f>
        <v>1550.94</v>
      </c>
      <c r="AR59" s="125">
        <f>AP59/AP60</f>
        <v>0.55340608742803943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32"/>
      <c r="BL59" s="26" t="str">
        <f>AS51</f>
        <v>Uruguay</v>
      </c>
      <c r="BM59" s="62">
        <v>2</v>
      </c>
      <c r="BN59" s="64">
        <v>0</v>
      </c>
      <c r="BO59" s="27">
        <v>0</v>
      </c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2 - 9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12</v>
      </c>
      <c r="AL60" s="123">
        <f>MIN(AL56:AL59)</f>
        <v>-7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90000011.250938654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1</v>
      </c>
      <c r="W61" s="123">
        <f t="shared" si="22"/>
        <v>1</v>
      </c>
      <c r="X61" s="123">
        <f t="shared" si="9"/>
        <v>1</v>
      </c>
      <c r="Y61" s="123">
        <f t="shared" si="10"/>
        <v>1</v>
      </c>
      <c r="Z61" s="123">
        <f t="shared" si="11"/>
        <v>1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2</v>
      </c>
      <c r="AL62" s="123">
        <f>AI62-AJ62</f>
        <v>5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90000009.966846511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4</v>
      </c>
      <c r="AL63" s="123">
        <f>AI63-AJ63</f>
        <v>-1</v>
      </c>
      <c r="AM63" s="123">
        <f>AL63-AL66</f>
        <v>4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49805927.313116632</v>
      </c>
      <c r="AQ63" s="126">
        <f>VLOOKUP(AE63,db_fifarank,2,FALSE)</f>
        <v>1564.26</v>
      </c>
      <c r="AR63" s="125">
        <f>AP63/AP66</f>
        <v>0.55339912493414856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Belgium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6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49805929.256313048</v>
      </c>
      <c r="AQ64" s="126">
        <f>VLOOKUP(AE64,db_fifarank,2,FALSE)</f>
        <v>1593.45</v>
      </c>
      <c r="AR64" s="125">
        <f>AP64/AP66</f>
        <v>0.55339914652521727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3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3 - 4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7.7302768358137833E-12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0 - 5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-5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90000010.966846511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Canada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90000010.056437477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Algeria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2</v>
      </c>
      <c r="AH69" s="123">
        <f>COUNTIF($S$7:$T$78,"=" &amp; AE69 &amp; "_lose")</f>
        <v>1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6</v>
      </c>
      <c r="AL69" s="123">
        <f>AI69-AJ69</f>
        <v>-3</v>
      </c>
      <c r="AM69" s="123">
        <f>AL69-AL72</f>
        <v>1</v>
      </c>
      <c r="AN69" s="123">
        <f>AF69*3+AG69</f>
        <v>2</v>
      </c>
      <c r="AO69" s="123">
        <f>AN69/AN72*10+BA69</f>
        <v>2</v>
      </c>
      <c r="AP69" s="123">
        <f>AO69*10000000+BI69*100+AM69/AM72*10+AI69/AI72*1++IF(AQ69=0,ROW(),AQ69)/2000000</f>
        <v>20000001.16740584</v>
      </c>
      <c r="AQ69" s="126">
        <f>VLOOKUP(AE69,db_fifarank,2,FALSE)</f>
        <v>1478.35</v>
      </c>
      <c r="AR69" s="125">
        <f>AP69/AP72</f>
        <v>0.22222220789355435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5 - 5</v>
      </c>
      <c r="P70" s="34">
        <f>L70*3+M70</f>
        <v>4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</v>
      </c>
      <c r="AP70" s="123">
        <f>AO70*10000000+BI70*100+AM70/AM72*10+AI70/AI72*1++IF(AQ70=0,ROW(),AQ70)/2000000</f>
        <v>10000000.111843782</v>
      </c>
      <c r="AQ70" s="126">
        <f>VLOOKUP(AE70,db_fifarank,2,FALSE)</f>
        <v>1465.34</v>
      </c>
      <c r="AR70" s="125">
        <f>AP70/AP72</f>
        <v>0.11111109870389851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2</v>
      </c>
      <c r="N71" s="23">
        <f>VLOOKUP(3,AD68:AN71,5,FALSE)</f>
        <v>1</v>
      </c>
      <c r="O71" s="23" t="str">
        <f>VLOOKUP(3,AD68:AN71,6,FALSE) &amp; " - " &amp; VLOOKUP(3,AD68:AN71,7,FALSE)</f>
        <v>3 - 6</v>
      </c>
      <c r="P71" s="34">
        <f>L71*3+M71</f>
        <v>2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5</v>
      </c>
      <c r="AL71" s="123">
        <f>AI71-AJ71</f>
        <v>0</v>
      </c>
      <c r="AM71" s="123">
        <f>AL71-AL72</f>
        <v>4</v>
      </c>
      <c r="AN71" s="123">
        <f>AF71*3+AG71</f>
        <v>4</v>
      </c>
      <c r="AO71" s="123">
        <f>AN71/AN72*10+BA71</f>
        <v>4</v>
      </c>
      <c r="AP71" s="123">
        <f>AO71*10000000+BI71*100+AM71/AM72*10+AI71/AI72*1++IF(AQ71=0,ROW(),AQ71)/2000000</f>
        <v>40000003.88973543</v>
      </c>
      <c r="AQ71" s="126">
        <f>VLOOKUP(AE71,db_fifarank,2,FALSE)</f>
        <v>1693.09</v>
      </c>
      <c r="AR71" s="125">
        <f>AP71/AP72</f>
        <v>0.44444443306403714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England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3</v>
      </c>
      <c r="AH72" s="123">
        <f t="shared" si="35"/>
        <v>3</v>
      </c>
      <c r="AI72" s="123">
        <f>MAX(AI68:AI71)+1</f>
        <v>9</v>
      </c>
      <c r="AL72" s="123">
        <f>MIN(AL68:AL71)</f>
        <v>-4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90000011.056437477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0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Panama_draw</v>
      </c>
      <c r="T73" s="127" t="str">
        <f t="shared" si="20"/>
        <v>England_draw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0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3</v>
      </c>
      <c r="AE74" s="124" t="str">
        <f>VLOOKUP("England",T,lang,FALSE)</f>
        <v>England</v>
      </c>
      <c r="AF74" s="123">
        <f>COUNTIF($S$7:$T$78,"=" &amp; AE74 &amp; "_win")</f>
        <v>0</v>
      </c>
      <c r="AG74" s="123">
        <f>COUNTIF($S$7:$T$78,"=" &amp; AE74 &amp; "_draw")</f>
        <v>3</v>
      </c>
      <c r="AH74" s="123">
        <f>COUNTIF($S$7:$T$78,"=" &amp; AE74 &amp; "_lose")</f>
        <v>0</v>
      </c>
      <c r="AI74" s="123">
        <f>SUMIF($E$7:$E$78,$AE74,$F$7:$F$78) + SUMIF($H$7:$H$78,$AE74,$G$7:$G$78)</f>
        <v>1</v>
      </c>
      <c r="AJ74" s="123">
        <f>SUMIF($E$7:$E$78,$AE74,$G$7:$G$78) + SUMIF($H$7:$H$78,$AE74,$F$7:$F$78)</f>
        <v>1</v>
      </c>
      <c r="AL74" s="123">
        <f>AI74-AJ74</f>
        <v>0</v>
      </c>
      <c r="AM74" s="123">
        <f>AL74-AL78</f>
        <v>1</v>
      </c>
      <c r="AN74" s="123">
        <f>AF74*3+AG74</f>
        <v>3</v>
      </c>
      <c r="AO74" s="123">
        <f>AN74/AN78*10+BA74</f>
        <v>5.9805825242718447</v>
      </c>
      <c r="AP74" s="123">
        <f>AO74*10000000+BI74*100+AM74/AM78*10+AI74/AI78*1++IF(AQ74=0,ROW(),AQ74)/2000000</f>
        <v>59805926.835217193</v>
      </c>
      <c r="AQ74" s="126">
        <f>VLOOKUP(AE74,db_fifarank,2,FALSE)</f>
        <v>1825.97</v>
      </c>
      <c r="AR74" s="125">
        <f>AP74/AP78</f>
        <v>0.71767104910143031</v>
      </c>
      <c r="AS74" s="125" t="str">
        <f>IF(SUM(AF74:AH77)=12,J75,"1L")</f>
        <v>Ghana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Ghana</v>
      </c>
      <c r="K75" s="31">
        <f>L75+M75+N75</f>
        <v>3</v>
      </c>
      <c r="L75" s="31">
        <f>VLOOKUP(1,AD74:AN77,3,FALSE)</f>
        <v>1</v>
      </c>
      <c r="M75" s="31">
        <f>VLOOKUP(1,AD74:AN77,4,FALSE)</f>
        <v>2</v>
      </c>
      <c r="N75" s="31">
        <f>VLOOKUP(1,AD74:AN77,5,FALSE)</f>
        <v>0</v>
      </c>
      <c r="O75" s="31" t="str">
        <f>VLOOKUP(1,AD74:AN77,6,FALSE) &amp; " - " &amp; VLOOKUP(1,AD74:AN77,7,FALSE)</f>
        <v>4 - 3</v>
      </c>
      <c r="P75" s="32">
        <f>L75*3+M75</f>
        <v>5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3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4</v>
      </c>
      <c r="AL75" s="123">
        <f>AI75-AJ75</f>
        <v>0</v>
      </c>
      <c r="AM75" s="123">
        <f>AL75-AL78</f>
        <v>1</v>
      </c>
      <c r="AN75" s="123">
        <f>AF75*3+AG75</f>
        <v>3</v>
      </c>
      <c r="AO75" s="123">
        <f>AN75/AN78*10+BA75</f>
        <v>5.9805825242718447</v>
      </c>
      <c r="AP75" s="123">
        <f>AO75*10000000+BI75*100+AM75/AM78*10+AI75/AI78*1++IF(AQ75=0,ROW(),AQ75)/2000000</f>
        <v>59805927.435162738</v>
      </c>
      <c r="AQ75" s="126">
        <f>VLOOKUP(AE75,db_fifarank,2,FALSE)</f>
        <v>1717.07</v>
      </c>
      <c r="AR75" s="125">
        <f>AP75/AP78</f>
        <v>0.7176710563007761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0</v>
      </c>
      <c r="M76" s="23">
        <f>VLOOKUP(2,AD74:AN77,4,FALSE)</f>
        <v>3</v>
      </c>
      <c r="N76" s="23">
        <f>VLOOKUP(2,AD74:AN77,5,FALSE)</f>
        <v>0</v>
      </c>
      <c r="O76" s="23" t="str">
        <f>VLOOKUP(2,AD74:AN77,6,FALSE) &amp; " - " &amp; VLOOKUP(2,AD74:AN77,7,FALSE)</f>
        <v>4 - 4</v>
      </c>
      <c r="P76" s="34">
        <f>L76*3+M76</f>
        <v>3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1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2</v>
      </c>
      <c r="AH76" s="123">
        <f>COUNTIF($S$7:$T$78,"=" &amp; AE76 &amp; "_lose")</f>
        <v>0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3</v>
      </c>
      <c r="AL76" s="123">
        <f>AI76-AJ76</f>
        <v>1</v>
      </c>
      <c r="AM76" s="123">
        <f>AL76-AL78</f>
        <v>2</v>
      </c>
      <c r="AN76" s="123">
        <f>AF76*3+AG76</f>
        <v>5</v>
      </c>
      <c r="AO76" s="123">
        <f>AN76/AN78*10+BA76</f>
        <v>8.3333333333333339</v>
      </c>
      <c r="AP76" s="123">
        <f>AO76*10000000+BI76*100+AM76/AM78*10+AI76/AI78*1++IF(AQ76=0,ROW(),AQ76)/2000000</f>
        <v>83333340.800673172</v>
      </c>
      <c r="AQ76" s="126">
        <f>VLOOKUP(AE76,db_fifarank,2,FALSE)</f>
        <v>1346.31</v>
      </c>
      <c r="AR76" s="125">
        <f>AP76/AP78</f>
        <v>0.99999998800000123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England</v>
      </c>
      <c r="K77" s="23">
        <f>L77+M77+N77</f>
        <v>3</v>
      </c>
      <c r="L77" s="23">
        <f>VLOOKUP(3,AD74:AN77,3,FALSE)</f>
        <v>0</v>
      </c>
      <c r="M77" s="23">
        <f>VLOOKUP(3,AD74:AN77,4,FALSE)</f>
        <v>3</v>
      </c>
      <c r="N77" s="23">
        <f>VLOOKUP(3,AD74:AN77,5,FALSE)</f>
        <v>0</v>
      </c>
      <c r="O77" s="23" t="str">
        <f>VLOOKUP(3,AD74:AN77,6,FALSE) &amp; " - " &amp; VLOOKUP(3,AD74:AN77,7,FALSE)</f>
        <v>1 - 1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2</v>
      </c>
      <c r="AH77" s="123">
        <f>COUNTIF($S$7:$T$78,"=" &amp; AE77 &amp; "_lose")</f>
        <v>1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3</v>
      </c>
      <c r="AL77" s="123">
        <f>AI77-AJ77</f>
        <v>-1</v>
      </c>
      <c r="AM77" s="123">
        <f>AL77-AL78</f>
        <v>0</v>
      </c>
      <c r="AN77" s="123">
        <f>AF77*3+AG77</f>
        <v>2</v>
      </c>
      <c r="AO77" s="123">
        <f>AN77/AN78*10+BA77</f>
        <v>3.333333333333333</v>
      </c>
      <c r="AP77" s="123">
        <f>AO77*10000000+BI77*100+AM77/AM78*10+AI77/AI78*1++IF(AQ77=0,ROW(),AQ77)/2000000</f>
        <v>33333333.73410365</v>
      </c>
      <c r="AQ77" s="126">
        <f>VLOOKUP(AE77,db_fifarank,2,FALSE)</f>
        <v>1540.64</v>
      </c>
      <c r="AR77" s="125">
        <f>AP77/AP78</f>
        <v>0.39999996416601624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2</v>
      </c>
      <c r="N78" s="36">
        <f>VLOOKUP(4,AD74:AN77,5,FALSE)</f>
        <v>1</v>
      </c>
      <c r="O78" s="36" t="str">
        <f>VLOOKUP(4,AD74:AN77,6,FALSE) &amp; " - " &amp; VLOOKUP(4,AD74:AN77,7,FALSE)</f>
        <v>2 - 3</v>
      </c>
      <c r="P78" s="37">
        <f>L78*3+M78</f>
        <v>2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2</v>
      </c>
      <c r="AG78" s="123">
        <f t="shared" si="36"/>
        <v>2</v>
      </c>
      <c r="AH78" s="123">
        <f t="shared" si="36"/>
        <v>2</v>
      </c>
      <c r="AI78" s="123">
        <f>MAX(AI74:AI77)+1</f>
        <v>5</v>
      </c>
      <c r="AL78" s="123">
        <f>MIN(AL74:AL77)</f>
        <v>-1</v>
      </c>
      <c r="AM78" s="123">
        <f>MAX(AM74:AM77)+1</f>
        <v>3</v>
      </c>
      <c r="AN78" s="123">
        <f>MAX(AN74:AN77)+1</f>
        <v>6</v>
      </c>
      <c r="AO78" s="123">
        <f>MAX(AO74:AO77)+1</f>
        <v>9.3333333333333339</v>
      </c>
      <c r="AP78" s="123">
        <f>MAX(AP74:AP77)+1</f>
        <v>83333341.800673172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2</v>
      </c>
      <c r="AK80" s="123" t="s">
        <v>3180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8861.9055125947634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Japan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2 - 2</v>
      </c>
      <c r="P81" s="98">
        <f>L81*3+M81</f>
        <v>4</v>
      </c>
      <c r="AD81" s="123">
        <f t="shared" ref="AD81:AD91" si="38">COUNTIF($AP$80:$AP$91,CONCATENATE("&gt;=",AP81))</f>
        <v>7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4680.9531084323817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Czech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2 - 2</v>
      </c>
      <c r="P82" s="101">
        <f t="shared" ref="P82:P92" si="48">L82*3+M82</f>
        <v>4</v>
      </c>
      <c r="AD82" s="123">
        <f t="shared" si="38"/>
        <v>11</v>
      </c>
      <c r="AE82" s="124" t="str">
        <f>J23</f>
        <v>Haiti</v>
      </c>
      <c r="AF82" s="123">
        <f t="shared" si="39"/>
        <v>0</v>
      </c>
      <c r="AG82" s="123">
        <f t="shared" ref="AG82:AG91" si="49">VLOOKUP($AE82,$AE$8:$AQ$78,3,FALSE)</f>
        <v>1</v>
      </c>
      <c r="AH82" s="123">
        <f t="shared" si="40"/>
        <v>2</v>
      </c>
      <c r="AI82" s="123">
        <f t="shared" si="41"/>
        <v>1</v>
      </c>
      <c r="AJ82" s="123">
        <f t="shared" si="42"/>
        <v>5</v>
      </c>
      <c r="AK82" s="123" t="s">
        <v>3182</v>
      </c>
      <c r="AL82" s="123">
        <f t="shared" si="43"/>
        <v>-4</v>
      </c>
      <c r="AM82" s="123">
        <f t="shared" si="44"/>
        <v>1</v>
      </c>
      <c r="AN82" s="123">
        <f t="shared" si="45"/>
        <v>1</v>
      </c>
      <c r="AP82" s="123">
        <f>AN82/AN92*10000+AM82/AM92*1000+AI82/AI92*100+IF(AQ82=0,ROW(),AQ82)/2000000</f>
        <v>2180.9530268073809</v>
      </c>
      <c r="AQ82" s="126">
        <f t="shared" si="37"/>
        <v>1291.71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Haiti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Ⓘ Norway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5 - 6</v>
      </c>
      <c r="P83" s="101">
        <f t="shared" si="48"/>
        <v>4</v>
      </c>
      <c r="AD83" s="123">
        <f t="shared" si="38"/>
        <v>9</v>
      </c>
      <c r="AE83" s="124" t="str">
        <f>J29</f>
        <v>United States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6</v>
      </c>
      <c r="AJ83" s="123">
        <f t="shared" si="42"/>
        <v>8</v>
      </c>
      <c r="AK83" s="123" t="s">
        <v>3184</v>
      </c>
      <c r="AL83" s="123">
        <f t="shared" si="43"/>
        <v>-2</v>
      </c>
      <c r="AM83" s="123">
        <f t="shared" si="44"/>
        <v>3</v>
      </c>
      <c r="AN83" s="123">
        <f t="shared" si="45"/>
        <v>1</v>
      </c>
      <c r="AP83" s="123">
        <f>AN83/AN92*10000+AM83/AM92*1000+AI83/AI92*100+IF(AQ83=0,ROW(),AQ83)/2000000</f>
        <v>2585.7151222792859</v>
      </c>
      <c r="AQ83" s="126">
        <f t="shared" si="37"/>
        <v>1673.13</v>
      </c>
      <c r="AR83" s="125" t="str">
        <f t="shared" si="50"/>
        <v>AB</v>
      </c>
      <c r="AS83" s="129" t="str">
        <f t="shared" si="46"/>
        <v/>
      </c>
      <c r="AT83" s="130" t="str">
        <f>"Ⓓ "&amp;AE83</f>
        <v>Ⓓ United States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Ⓙ Algeria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3 - 4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12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2</v>
      </c>
      <c r="AJ84" s="123">
        <f t="shared" si="42"/>
        <v>7</v>
      </c>
      <c r="AK84" s="123" t="s">
        <v>3185</v>
      </c>
      <c r="AL84" s="123">
        <f t="shared" si="43"/>
        <v>-5</v>
      </c>
      <c r="AM84" s="123">
        <f t="shared" si="44"/>
        <v>0</v>
      </c>
      <c r="AN84" s="123">
        <f t="shared" si="45"/>
        <v>1</v>
      </c>
      <c r="AP84" s="123">
        <f>AN84/AN92*10000+AM84/AM92*1000+AI84/AI92*100+IF(AQ84=0,ROW(),AQ84)/2000000</f>
        <v>2028.5721950614286</v>
      </c>
      <c r="AQ84" s="126">
        <f t="shared" si="37"/>
        <v>1532.98</v>
      </c>
      <c r="AR84" s="125" t="str">
        <f t="shared" si="50"/>
        <v>AB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Ⓛ England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3</v>
      </c>
      <c r="N85" s="100">
        <f>VLOOKUP(5,$AD$80:$AN$91,5,FALSE)</f>
        <v>0</v>
      </c>
      <c r="O85" s="100" t="str">
        <f>VLOOKUP(5,$AD$80:$AN$91,6,FALSE) &amp; " - " &amp; VLOOKUP(5,$AD$80:$AN$91,7,FALSE)</f>
        <v>1 - 1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2</v>
      </c>
      <c r="AJ85" s="123">
        <f t="shared" si="42"/>
        <v>2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8861.9055921197632</v>
      </c>
      <c r="AQ85" s="126">
        <f t="shared" si="37"/>
        <v>1660.43</v>
      </c>
      <c r="AR85" s="125" t="str">
        <f t="shared" si="50"/>
        <v>ABF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Iran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1 - 2</v>
      </c>
      <c r="P86" s="101">
        <f t="shared" si="48"/>
        <v>2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6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1</v>
      </c>
      <c r="AJ86" s="123">
        <f t="shared" si="42"/>
        <v>2</v>
      </c>
      <c r="AK86" s="123" t="s">
        <v>3187</v>
      </c>
      <c r="AL86" s="123">
        <f t="shared" si="43"/>
        <v>-1</v>
      </c>
      <c r="AM86" s="123">
        <f t="shared" si="44"/>
        <v>4</v>
      </c>
      <c r="AN86" s="123">
        <f t="shared" si="45"/>
        <v>2</v>
      </c>
      <c r="AP86" s="123">
        <f>AN86/AN92*10000+AM86/AM92*1000+AI86/AI92*100+IF(AQ86=0,ROW(),AQ86)/2000000</f>
        <v>4680.9531886023815</v>
      </c>
      <c r="AQ86" s="126">
        <f t="shared" si="37"/>
        <v>1615.3</v>
      </c>
      <c r="AR86" s="125" t="str">
        <f t="shared" si="50"/>
        <v>ABFG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Qatar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1 - 2</v>
      </c>
      <c r="P87" s="101">
        <f t="shared" si="48"/>
        <v>2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Cape Verde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6</v>
      </c>
      <c r="AK87" s="123" t="s">
        <v>3188</v>
      </c>
      <c r="AL87" s="123">
        <f t="shared" si="43"/>
        <v>-4</v>
      </c>
      <c r="AM87" s="123">
        <f t="shared" si="44"/>
        <v>1</v>
      </c>
      <c r="AN87" s="123">
        <f t="shared" si="45"/>
        <v>1</v>
      </c>
      <c r="AP87" s="123">
        <f>AN87/AN92*10000+AM87/AM92*1000+AI87/AI92*100+IF(AQ87=0,ROW(),AQ87)/2000000</f>
        <v>2195.2387783030949</v>
      </c>
      <c r="AQ87" s="126">
        <f t="shared" si="37"/>
        <v>1366.13</v>
      </c>
      <c r="AR87" s="125" t="str">
        <f t="shared" si="50"/>
        <v>ABFG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Ⓚ DR Congo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3 - 6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3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6</v>
      </c>
      <c r="AK88" s="123" t="s">
        <v>3189</v>
      </c>
      <c r="AL88" s="123">
        <f t="shared" si="43"/>
        <v>-1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8738.0960135652367</v>
      </c>
      <c r="AQ88" s="126">
        <f t="shared" si="37"/>
        <v>1550.94</v>
      </c>
      <c r="AR88" s="125" t="str">
        <f t="shared" si="50"/>
        <v>ABFGI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United States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6 - 8</v>
      </c>
      <c r="P89" s="104">
        <f t="shared" si="48"/>
        <v>1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4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4</v>
      </c>
      <c r="AK89" s="123" t="s">
        <v>3190</v>
      </c>
      <c r="AL89" s="123">
        <f t="shared" si="43"/>
        <v>-1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8709.5245916538097</v>
      </c>
      <c r="AQ89" s="126">
        <f t="shared" si="37"/>
        <v>1564.26</v>
      </c>
      <c r="AR89" s="125" t="str">
        <f t="shared" si="50"/>
        <v>ABFGIJ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Cape Verde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2 - 6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8</v>
      </c>
      <c r="AE90" s="124" t="str">
        <f>J71</f>
        <v>DR Congo</v>
      </c>
      <c r="AF90" s="123">
        <f t="shared" si="39"/>
        <v>0</v>
      </c>
      <c r="AG90" s="123">
        <f t="shared" si="49"/>
        <v>2</v>
      </c>
      <c r="AH90" s="123">
        <f t="shared" si="40"/>
        <v>1</v>
      </c>
      <c r="AI90" s="123">
        <f t="shared" si="41"/>
        <v>3</v>
      </c>
      <c r="AJ90" s="123">
        <f t="shared" si="42"/>
        <v>6</v>
      </c>
      <c r="AK90" s="123" t="s">
        <v>3191</v>
      </c>
      <c r="AL90" s="123">
        <f t="shared" si="43"/>
        <v>-3</v>
      </c>
      <c r="AM90" s="123">
        <f t="shared" si="44"/>
        <v>2</v>
      </c>
      <c r="AN90" s="123">
        <f t="shared" si="45"/>
        <v>2</v>
      </c>
      <c r="AP90" s="123">
        <f>AN90/AN92*10000+AM90/AM92*1000+AI90/AI92*100+IF(AQ90=0,ROW(),AQ90)/2000000</f>
        <v>4376.1912153654757</v>
      </c>
      <c r="AQ90" s="126">
        <f t="shared" si="37"/>
        <v>1478.35</v>
      </c>
      <c r="AR90" s="125" t="str">
        <f t="shared" si="50"/>
        <v>ABFGIJK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Ⓒ Haiti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1 - 5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Czech Republic</v>
      </c>
      <c r="T91" s="127" t="str" cm="1">
        <f t="array" ref="T91">IF(OR(S91="",S91="draw"),INDEX(T,93,lang),S91)</f>
        <v>Czech Republic</v>
      </c>
      <c r="AD91" s="123">
        <f t="shared" si="38"/>
        <v>5</v>
      </c>
      <c r="AE91" s="124" t="str">
        <f>J77</f>
        <v>England</v>
      </c>
      <c r="AF91" s="123">
        <f t="shared" si="39"/>
        <v>0</v>
      </c>
      <c r="AG91" s="123">
        <f t="shared" si="49"/>
        <v>3</v>
      </c>
      <c r="AH91" s="123">
        <f>VLOOKUP($AE91,$AE$8:$AQ$78,4,FALSE)</f>
        <v>0</v>
      </c>
      <c r="AI91" s="123">
        <f>VLOOKUP($AE91,$AE$8:$AQ$78,5,FALSE)</f>
        <v>1</v>
      </c>
      <c r="AJ91" s="123">
        <f>VLOOKUP($AE91,$AE$8:$AQ$78,6,FALSE)</f>
        <v>1</v>
      </c>
      <c r="AK91" s="123" t="s">
        <v>3192</v>
      </c>
      <c r="AL91" s="123">
        <f>VLOOKUP($AE91,$AE$8:$AQ$78,8,FALSE)</f>
        <v>0</v>
      </c>
      <c r="AM91" s="123">
        <f t="shared" si="44"/>
        <v>5</v>
      </c>
      <c r="AN91" s="123">
        <f>VLOOKUP($AE91,$AE$8:$AQ$78,10,FALSE)</f>
        <v>3</v>
      </c>
      <c r="AP91" s="123">
        <f>AN91/AN92*10000+AM91/AM92*1000+AI91/AI92*100+IF(AQ91=0,ROW(),AQ91)/2000000</f>
        <v>6847.6199606040473</v>
      </c>
      <c r="AQ91" s="126">
        <f t="shared" si="37"/>
        <v>1825.97</v>
      </c>
      <c r="AR91" s="125" t="str">
        <f t="shared" si="50"/>
        <v>ABFGIJKL</v>
      </c>
      <c r="AS91" s="129" t="str">
        <f t="shared" si="46"/>
        <v>England</v>
      </c>
      <c r="AT91" s="130" t="str">
        <f>"Ⓛ "&amp;AE91</f>
        <v>Ⓛ England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Ⓔ Ivory Coast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2 - 7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7</v>
      </c>
      <c r="AJ92" s="123">
        <f>MAX(AJ80:AJ91)+1</f>
        <v>9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Brazil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Brazil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288</v>
      </c>
      <c r="C3" s="121" t="str">
        <f>'2026 World Cup'!AR91</f>
        <v>ABFGIJKL</v>
      </c>
      <c r="D3" s="121" t="str">
        <f>VLOOKUP($C3,$C$6:$K$500,2,FALSE)</f>
        <v>3I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3F</v>
      </c>
      <c r="H3" s="121" t="str">
        <f>VLOOKUP($C3,$C$6:$K$500,6,FALSE)</f>
        <v>3A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BC0A1F-9384-414D-82C4-AA69D1C76CAE}"/>
</file>

<file path=customXml/itemProps2.xml><?xml version="1.0" encoding="utf-8"?>
<ds:datastoreItem xmlns:ds="http://schemas.openxmlformats.org/officeDocument/2006/customXml" ds:itemID="{80A9BA15-DF5F-4DCA-88D5-7C22D8DDE4C2}"/>
</file>

<file path=customXml/itemProps3.xml><?xml version="1.0" encoding="utf-8"?>
<ds:datastoreItem xmlns:ds="http://schemas.openxmlformats.org/officeDocument/2006/customXml" ds:itemID="{51EA56A4-F453-427F-84AF-E00AB6A038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Edvard Nergård Larsen</cp:lastModifiedBy>
  <cp:revision/>
  <dcterms:created xsi:type="dcterms:W3CDTF">2017-12-27T19:32:51Z</dcterms:created>
  <dcterms:modified xsi:type="dcterms:W3CDTF">2026-06-11T09:24:33Z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