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o.sharepoint.com/sites/VM-tippekonk/Delte dokumenter/General/Innsendte skjema/Kampresultat/"/>
    </mc:Choice>
  </mc:AlternateContent>
  <xr:revisionPtr revIDLastSave="0" documentId="8_{7AE113A2-668B-4DC6-9CD4-D9EE75BE6CA0}" xr6:coauthVersionLast="47" xr6:coauthVersionMax="47" xr10:uidLastSave="{00000000-0000-0000-0000-000000000000}"/>
  <bookViews>
    <workbookView xWindow="3510" yWindow="3510" windowWidth="26280" windowHeight="1777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S25" i="3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T39" i="3" s="1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T75" i="3"/>
  <c r="T25" i="3"/>
  <c r="S47" i="3"/>
  <c r="S67" i="3"/>
  <c r="S72" i="3"/>
  <c r="S70" i="3"/>
  <c r="T21" i="3"/>
  <c r="S42" i="3"/>
  <c r="S64" i="3"/>
  <c r="S40" i="3"/>
  <c r="S62" i="3"/>
  <c r="T61" i="3"/>
  <c r="S38" i="3"/>
  <c r="S65" i="3"/>
  <c r="S55" i="3"/>
  <c r="S57" i="3"/>
  <c r="T60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G78" i="3" l="1"/>
  <c r="BH74" i="3" s="1"/>
  <c r="BG66" i="3"/>
  <c r="BH62" i="3" s="1"/>
  <c r="BG48" i="3"/>
  <c r="BH44" i="3" s="1"/>
  <c r="BG60" i="3"/>
  <c r="BH56" i="3" s="1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20" i="3"/>
  <c r="AP20" i="3" s="1"/>
  <c r="BI69" i="3"/>
  <c r="AP69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72" i="3" l="1"/>
  <c r="AR68" i="3" s="1"/>
  <c r="AP36" i="3"/>
  <c r="AR32" i="3" s="1"/>
  <c r="AP12" i="3"/>
  <c r="AR8" i="3" s="1"/>
  <c r="AP30" i="3"/>
  <c r="AR26" i="3" s="1"/>
  <c r="AP78" i="3"/>
  <c r="AR74" i="3" s="1"/>
  <c r="AP24" i="3"/>
  <c r="AR20" i="3" s="1"/>
  <c r="AR58" i="3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8" i="3" l="1"/>
  <c r="AR70" i="3"/>
  <c r="AR10" i="3"/>
  <c r="AR11" i="3"/>
  <c r="AR69" i="3"/>
  <c r="AR35" i="3"/>
  <c r="AR71" i="3"/>
  <c r="AR9" i="3"/>
  <c r="AD57" i="3"/>
  <c r="AR33" i="3"/>
  <c r="AR34" i="3"/>
  <c r="AD34" i="3" s="1"/>
  <c r="AR22" i="3"/>
  <c r="AR27" i="3"/>
  <c r="AR28" i="3"/>
  <c r="AR29" i="3"/>
  <c r="AR75" i="3"/>
  <c r="AR76" i="3"/>
  <c r="AR77" i="3"/>
  <c r="AR41" i="3"/>
  <c r="AR65" i="3"/>
  <c r="AR40" i="3"/>
  <c r="AR2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9" i="3" l="1"/>
  <c r="AD68" i="3"/>
  <c r="L69" i="3" s="1"/>
  <c r="AD71" i="3"/>
  <c r="AD70" i="3"/>
  <c r="AD69" i="3"/>
  <c r="AD33" i="3"/>
  <c r="AD32" i="3"/>
  <c r="AD35" i="3"/>
  <c r="AD11" i="3"/>
  <c r="AD10" i="3"/>
  <c r="AD8" i="3"/>
  <c r="AD26" i="3"/>
  <c r="AD29" i="3"/>
  <c r="AD28" i="3"/>
  <c r="AD27" i="3"/>
  <c r="AD77" i="3"/>
  <c r="AD74" i="3"/>
  <c r="AD75" i="3"/>
  <c r="L59" i="3"/>
  <c r="AD14" i="3"/>
  <c r="N58" i="3"/>
  <c r="AD44" i="3"/>
  <c r="L58" i="3"/>
  <c r="M58" i="3"/>
  <c r="AD76" i="3"/>
  <c r="O60" i="3"/>
  <c r="M59" i="3"/>
  <c r="AD15" i="3"/>
  <c r="AD22" i="3"/>
  <c r="AD62" i="3"/>
  <c r="AD39" i="3"/>
  <c r="AD21" i="3"/>
  <c r="AD41" i="3"/>
  <c r="AD47" i="3"/>
  <c r="AD53" i="3"/>
  <c r="AD63" i="3"/>
  <c r="AD20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O69" i="3" l="1"/>
  <c r="J69" i="3"/>
  <c r="AS68" i="3" s="1"/>
  <c r="BL70" i="3" s="1"/>
  <c r="N69" i="3"/>
  <c r="M69" i="3"/>
  <c r="N35" i="3"/>
  <c r="N36" i="3"/>
  <c r="M35" i="3"/>
  <c r="N71" i="3"/>
  <c r="O36" i="3"/>
  <c r="L72" i="3"/>
  <c r="N72" i="3"/>
  <c r="O72" i="3"/>
  <c r="M72" i="3"/>
  <c r="J36" i="3"/>
  <c r="N70" i="3"/>
  <c r="O71" i="3"/>
  <c r="M71" i="3"/>
  <c r="O70" i="3"/>
  <c r="L71" i="3"/>
  <c r="L36" i="3"/>
  <c r="J72" i="3"/>
  <c r="L70" i="3"/>
  <c r="J33" i="3"/>
  <c r="AS32" i="3" s="1"/>
  <c r="BL10" i="3" s="1"/>
  <c r="O34" i="3"/>
  <c r="M70" i="3"/>
  <c r="J70" i="3"/>
  <c r="AS69" i="3" s="1"/>
  <c r="BL26" i="3" s="1"/>
  <c r="J71" i="3"/>
  <c r="AE90" i="3" s="1"/>
  <c r="AQ90" i="3" s="1"/>
  <c r="M34" i="3"/>
  <c r="N10" i="3"/>
  <c r="J10" i="3"/>
  <c r="AS9" i="3" s="1"/>
  <c r="BL18" i="3" s="1"/>
  <c r="S88" i="3" s="1"/>
  <c r="T88" i="3" s="1" a="1"/>
  <c r="T88" i="3" s="1"/>
  <c r="J34" i="3"/>
  <c r="AS33" i="3" s="1"/>
  <c r="BL46" i="3" s="1"/>
  <c r="N34" i="3"/>
  <c r="O35" i="3"/>
  <c r="J35" i="3"/>
  <c r="AE84" i="3" s="1"/>
  <c r="AQ84" i="3" s="1"/>
  <c r="M11" i="3"/>
  <c r="M36" i="3"/>
  <c r="M33" i="3"/>
  <c r="L11" i="3"/>
  <c r="L35" i="3"/>
  <c r="O33" i="3"/>
  <c r="M12" i="3"/>
  <c r="L34" i="3"/>
  <c r="M10" i="3"/>
  <c r="N11" i="3"/>
  <c r="M9" i="3"/>
  <c r="O10" i="3"/>
  <c r="O12" i="3"/>
  <c r="L10" i="3"/>
  <c r="N9" i="3"/>
  <c r="J11" i="3"/>
  <c r="AE80" i="3" s="1"/>
  <c r="AQ80" i="3" s="1"/>
  <c r="O11" i="3"/>
  <c r="N33" i="3"/>
  <c r="L33" i="3"/>
  <c r="N39" i="3"/>
  <c r="L9" i="3"/>
  <c r="O9" i="3"/>
  <c r="N12" i="3"/>
  <c r="L12" i="3"/>
  <c r="J9" i="3"/>
  <c r="AS8" i="3" s="1"/>
  <c r="BL50" i="3" s="1"/>
  <c r="J12" i="3"/>
  <c r="M28" i="3"/>
  <c r="N28" i="3"/>
  <c r="M30" i="3"/>
  <c r="O28" i="3"/>
  <c r="L28" i="3"/>
  <c r="J28" i="3"/>
  <c r="AS27" i="3" s="1"/>
  <c r="BL62" i="3" s="1"/>
  <c r="L30" i="3"/>
  <c r="J30" i="3"/>
  <c r="O30" i="3"/>
  <c r="S86" i="3"/>
  <c r="T86" i="3" s="1" a="1"/>
  <c r="T86" i="3" s="1"/>
  <c r="BS28" i="3"/>
  <c r="N75" i="3"/>
  <c r="J75" i="3"/>
  <c r="AS74" i="3" s="1"/>
  <c r="BL54" i="3" s="1"/>
  <c r="P59" i="3"/>
  <c r="J27" i="3"/>
  <c r="AS26" i="3" s="1"/>
  <c r="BL34" i="3" s="1"/>
  <c r="O29" i="3"/>
  <c r="L29" i="3"/>
  <c r="O27" i="3"/>
  <c r="N29" i="3"/>
  <c r="M27" i="3"/>
  <c r="L27" i="3"/>
  <c r="L78" i="3"/>
  <c r="N77" i="3"/>
  <c r="O76" i="3"/>
  <c r="M75" i="3"/>
  <c r="O78" i="3"/>
  <c r="O77" i="3"/>
  <c r="M78" i="3"/>
  <c r="M76" i="3"/>
  <c r="N76" i="3"/>
  <c r="M29" i="3"/>
  <c r="J29" i="3"/>
  <c r="AE83" i="3" s="1"/>
  <c r="AQ83" i="3" s="1"/>
  <c r="J78" i="3"/>
  <c r="N78" i="3"/>
  <c r="O75" i="3"/>
  <c r="J77" i="3"/>
  <c r="AE91" i="3" s="1"/>
  <c r="AQ91" i="3" s="1"/>
  <c r="L76" i="3"/>
  <c r="L75" i="3"/>
  <c r="N27" i="3"/>
  <c r="M77" i="3"/>
  <c r="J76" i="3"/>
  <c r="AS75" i="3" s="1"/>
  <c r="BL27" i="3" s="1"/>
  <c r="N30" i="3"/>
  <c r="N51" i="3"/>
  <c r="P58" i="3"/>
  <c r="L77" i="3"/>
  <c r="L63" i="3"/>
  <c r="J45" i="3"/>
  <c r="AS44" i="3" s="1"/>
  <c r="BL38" i="3" s="1"/>
  <c r="J18" i="3"/>
  <c r="N47" i="3"/>
  <c r="O45" i="3"/>
  <c r="L45" i="3"/>
  <c r="N45" i="3"/>
  <c r="M45" i="3"/>
  <c r="L18" i="3"/>
  <c r="K58" i="3"/>
  <c r="K59" i="3"/>
  <c r="M18" i="3"/>
  <c r="N18" i="3"/>
  <c r="O18" i="3"/>
  <c r="N15" i="3"/>
  <c r="J63" i="3"/>
  <c r="AS62" i="3" s="1"/>
  <c r="BL58" i="3" s="1"/>
  <c r="BS60" i="3" s="1"/>
  <c r="BZ64" i="3" s="1"/>
  <c r="O63" i="3"/>
  <c r="N63" i="3"/>
  <c r="M63" i="3"/>
  <c r="J16" i="3"/>
  <c r="AS15" i="3" s="1"/>
  <c r="BL19" i="3" s="1"/>
  <c r="L17" i="3"/>
  <c r="O17" i="3"/>
  <c r="N17" i="3"/>
  <c r="J17" i="3"/>
  <c r="AE81" i="3" s="1"/>
  <c r="AQ81" i="3" s="1"/>
  <c r="M17" i="3"/>
  <c r="M48" i="3"/>
  <c r="N65" i="3"/>
  <c r="O39" i="3"/>
  <c r="M65" i="3"/>
  <c r="L16" i="3"/>
  <c r="J39" i="3"/>
  <c r="AS38" i="3" s="1"/>
  <c r="BL22" i="3" s="1"/>
  <c r="L65" i="3"/>
  <c r="M39" i="3"/>
  <c r="N41" i="3"/>
  <c r="O48" i="3"/>
  <c r="L40" i="3"/>
  <c r="J64" i="3"/>
  <c r="AS63" i="3" s="1"/>
  <c r="BL31" i="3" s="1"/>
  <c r="M40" i="3"/>
  <c r="J65" i="3"/>
  <c r="AE89" i="3" s="1"/>
  <c r="AQ89" i="3" s="1"/>
  <c r="L39" i="3"/>
  <c r="O65" i="3"/>
  <c r="L48" i="3"/>
  <c r="J46" i="3"/>
  <c r="AS45" i="3" s="1"/>
  <c r="BL63" i="3" s="1"/>
  <c r="BS61" i="3" s="1"/>
  <c r="O40" i="3"/>
  <c r="N40" i="3"/>
  <c r="O16" i="3"/>
  <c r="M16" i="3"/>
  <c r="M64" i="3"/>
  <c r="J40" i="3"/>
  <c r="AS39" i="3" s="1"/>
  <c r="BL43" i="3" s="1"/>
  <c r="N16" i="3"/>
  <c r="J23" i="3"/>
  <c r="AE82" i="3" s="1"/>
  <c r="AQ82" i="3" s="1"/>
  <c r="M51" i="3"/>
  <c r="L24" i="3"/>
  <c r="K57" i="3"/>
  <c r="M53" i="3"/>
  <c r="J52" i="3"/>
  <c r="AS51" i="3" s="1"/>
  <c r="BL59" i="3" s="1"/>
  <c r="N23" i="3"/>
  <c r="L54" i="3"/>
  <c r="O53" i="3"/>
  <c r="M21" i="3"/>
  <c r="O54" i="3"/>
  <c r="M24" i="3"/>
  <c r="AT88" i="3"/>
  <c r="AN88" i="3"/>
  <c r="AL88" i="3"/>
  <c r="AJ88" i="3"/>
  <c r="L52" i="3"/>
  <c r="J53" i="3"/>
  <c r="AE87" i="3" s="1"/>
  <c r="AQ87" i="3" s="1"/>
  <c r="L51" i="3"/>
  <c r="N22" i="3"/>
  <c r="N24" i="3"/>
  <c r="J24" i="3"/>
  <c r="O64" i="3"/>
  <c r="N52" i="3"/>
  <c r="O52" i="3"/>
  <c r="M54" i="3"/>
  <c r="O22" i="3"/>
  <c r="M22" i="3"/>
  <c r="O51" i="3"/>
  <c r="J51" i="3"/>
  <c r="AS50" i="3" s="1"/>
  <c r="BL30" i="3" s="1"/>
  <c r="N21" i="3"/>
  <c r="L21" i="3"/>
  <c r="J54" i="3"/>
  <c r="M52" i="3"/>
  <c r="O24" i="3"/>
  <c r="J21" i="3"/>
  <c r="AS20" i="3" s="1"/>
  <c r="BL42" i="3" s="1"/>
  <c r="BS44" i="3" s="1"/>
  <c r="AI88" i="3"/>
  <c r="N54" i="3"/>
  <c r="N53" i="3"/>
  <c r="L22" i="3"/>
  <c r="J22" i="3"/>
  <c r="AS21" i="3" s="1"/>
  <c r="BL23" i="3" s="1"/>
  <c r="AH88" i="3"/>
  <c r="L53" i="3"/>
  <c r="O21" i="3"/>
  <c r="AF88" i="3"/>
  <c r="P57" i="3"/>
  <c r="N64" i="3"/>
  <c r="L64" i="3"/>
  <c r="J42" i="3"/>
  <c r="L66" i="3"/>
  <c r="L15" i="3"/>
  <c r="AG88" i="3"/>
  <c r="L23" i="3"/>
  <c r="M47" i="3"/>
  <c r="O46" i="3"/>
  <c r="J47" i="3"/>
  <c r="AE86" i="3" s="1"/>
  <c r="AQ86" i="3" s="1"/>
  <c r="J48" i="3"/>
  <c r="O41" i="3"/>
  <c r="L41" i="3"/>
  <c r="O66" i="3"/>
  <c r="L46" i="3"/>
  <c r="M42" i="3"/>
  <c r="M23" i="3"/>
  <c r="N66" i="3"/>
  <c r="N48" i="3"/>
  <c r="N46" i="3"/>
  <c r="L42" i="3"/>
  <c r="J41" i="3"/>
  <c r="AE85" i="3" s="1"/>
  <c r="AQ85" i="3" s="1"/>
  <c r="O42" i="3"/>
  <c r="M66" i="3"/>
  <c r="O47" i="3"/>
  <c r="L47" i="3"/>
  <c r="M41" i="3"/>
  <c r="J66" i="3"/>
  <c r="M46" i="3"/>
  <c r="O23" i="3"/>
  <c r="N42" i="3"/>
  <c r="P60" i="3"/>
  <c r="K60" i="3"/>
  <c r="M15" i="3"/>
  <c r="O15" i="3"/>
  <c r="J15" i="3"/>
  <c r="AS14" i="3" s="1"/>
  <c r="BL66" i="3" s="1"/>
  <c r="P69" i="3"/>
  <c r="K69" i="3" l="1"/>
  <c r="P72" i="3"/>
  <c r="K72" i="3"/>
  <c r="P35" i="3"/>
  <c r="P71" i="3"/>
  <c r="K70" i="3"/>
  <c r="K71" i="3"/>
  <c r="AL90" i="3"/>
  <c r="AF90" i="3"/>
  <c r="AH90" i="3"/>
  <c r="AJ90" i="3"/>
  <c r="AI90" i="3"/>
  <c r="AG90" i="3"/>
  <c r="K36" i="3"/>
  <c r="P70" i="3"/>
  <c r="AT90" i="3"/>
  <c r="P34" i="3"/>
  <c r="AN90" i="3"/>
  <c r="P33" i="3"/>
  <c r="P12" i="3"/>
  <c r="AG80" i="3"/>
  <c r="AG84" i="3"/>
  <c r="AF84" i="3"/>
  <c r="AF80" i="3"/>
  <c r="P10" i="3"/>
  <c r="BS20" i="3"/>
  <c r="AH80" i="3"/>
  <c r="AH84" i="3"/>
  <c r="AT84" i="3"/>
  <c r="K34" i="3"/>
  <c r="AN80" i="3"/>
  <c r="AN84" i="3"/>
  <c r="AT80" i="3"/>
  <c r="AL80" i="3"/>
  <c r="AL84" i="3"/>
  <c r="AJ80" i="3"/>
  <c r="AJ84" i="3"/>
  <c r="AI80" i="3"/>
  <c r="AI84" i="3"/>
  <c r="K10" i="3"/>
  <c r="P11" i="3"/>
  <c r="P36" i="3"/>
  <c r="K33" i="3"/>
  <c r="K11" i="3"/>
  <c r="P9" i="3"/>
  <c r="K35" i="3"/>
  <c r="K9" i="3"/>
  <c r="K12" i="3"/>
  <c r="P28" i="3"/>
  <c r="K28" i="3"/>
  <c r="K30" i="3"/>
  <c r="P30" i="3"/>
  <c r="S87" i="3"/>
  <c r="T87" i="3" s="1" a="1"/>
  <c r="T87" i="3" s="1"/>
  <c r="BS29" i="3"/>
  <c r="S89" i="3"/>
  <c r="T89" i="3" s="1" a="1"/>
  <c r="T89" i="3" s="1"/>
  <c r="BS21" i="3"/>
  <c r="AI83" i="3"/>
  <c r="AJ83" i="3"/>
  <c r="P27" i="3"/>
  <c r="K27" i="3"/>
  <c r="K29" i="3"/>
  <c r="K78" i="3"/>
  <c r="P48" i="3"/>
  <c r="P76" i="3"/>
  <c r="AH91" i="3"/>
  <c r="AI91" i="3"/>
  <c r="P78" i="3"/>
  <c r="AG91" i="3"/>
  <c r="AF91" i="3"/>
  <c r="AT91" i="3"/>
  <c r="AN91" i="3"/>
  <c r="AL91" i="3"/>
  <c r="AJ91" i="3"/>
  <c r="P75" i="3"/>
  <c r="AF83" i="3"/>
  <c r="AT83" i="3"/>
  <c r="P29" i="3"/>
  <c r="K75" i="3"/>
  <c r="AH83" i="3"/>
  <c r="AN83" i="3"/>
  <c r="AG83" i="3"/>
  <c r="AL83" i="3"/>
  <c r="K76" i="3"/>
  <c r="P77" i="3"/>
  <c r="K77" i="3"/>
  <c r="P63" i="3"/>
  <c r="P45" i="3"/>
  <c r="P17" i="3"/>
  <c r="K45" i="3"/>
  <c r="P18" i="3"/>
  <c r="K18" i="3"/>
  <c r="AT81" i="3"/>
  <c r="AN81" i="3"/>
  <c r="AL81" i="3"/>
  <c r="AJ81" i="3"/>
  <c r="AH81" i="3"/>
  <c r="AG81" i="3"/>
  <c r="AF81" i="3"/>
  <c r="AI81" i="3"/>
  <c r="AG82" i="3"/>
  <c r="K63" i="3"/>
  <c r="K17" i="3"/>
  <c r="P16" i="3"/>
  <c r="AH89" i="3"/>
  <c r="AF89" i="3"/>
  <c r="AT89" i="3"/>
  <c r="AG89" i="3"/>
  <c r="AN89" i="3"/>
  <c r="AL89" i="3"/>
  <c r="AJ89" i="3"/>
  <c r="AI89" i="3"/>
  <c r="AF82" i="3"/>
  <c r="AI82" i="3"/>
  <c r="AT82" i="3"/>
  <c r="AN82" i="3"/>
  <c r="AL82" i="3"/>
  <c r="AJ82" i="3"/>
  <c r="AJ87" i="3"/>
  <c r="AH82" i="3"/>
  <c r="P65" i="3"/>
  <c r="P39" i="3"/>
  <c r="K65" i="3"/>
  <c r="P64" i="3"/>
  <c r="K16" i="3"/>
  <c r="K48" i="3"/>
  <c r="K39" i="3"/>
  <c r="AT86" i="3"/>
  <c r="P24" i="3"/>
  <c r="AF86" i="3"/>
  <c r="AT87" i="3"/>
  <c r="P21" i="3"/>
  <c r="K22" i="3"/>
  <c r="K40" i="3"/>
  <c r="P53" i="3"/>
  <c r="K51" i="3"/>
  <c r="P40" i="3"/>
  <c r="AH85" i="3"/>
  <c r="AG85" i="3"/>
  <c r="P22" i="3"/>
  <c r="K24" i="3"/>
  <c r="P52" i="3"/>
  <c r="K54" i="3"/>
  <c r="AN86" i="3"/>
  <c r="AL86" i="3"/>
  <c r="K64" i="3"/>
  <c r="AJ86" i="3"/>
  <c r="AI86" i="3"/>
  <c r="AH86" i="3"/>
  <c r="P41" i="3"/>
  <c r="P15" i="3"/>
  <c r="AG86" i="3"/>
  <c r="P54" i="3"/>
  <c r="K41" i="3"/>
  <c r="K52" i="3"/>
  <c r="K15" i="3"/>
  <c r="P51" i="3"/>
  <c r="K21" i="3"/>
  <c r="P42" i="3"/>
  <c r="P46" i="3"/>
  <c r="AN87" i="3"/>
  <c r="AL87" i="3"/>
  <c r="AH87" i="3"/>
  <c r="AI87" i="3"/>
  <c r="AG87" i="3"/>
  <c r="K23" i="3"/>
  <c r="K53" i="3"/>
  <c r="AF87" i="3"/>
  <c r="K66" i="3"/>
  <c r="K47" i="3"/>
  <c r="P23" i="3"/>
  <c r="P66" i="3"/>
  <c r="K42" i="3"/>
  <c r="P47" i="3"/>
  <c r="AF85" i="3"/>
  <c r="AT85" i="3"/>
  <c r="AN85" i="3"/>
  <c r="AL85" i="3"/>
  <c r="K46" i="3"/>
  <c r="AJ85" i="3"/>
  <c r="AI85" i="3"/>
  <c r="S97" i="3" l="1"/>
  <c r="T97" i="3" s="1" a="1"/>
  <c r="T97" i="3" s="1"/>
  <c r="BZ32" i="3"/>
  <c r="BZ17" i="3"/>
  <c r="U102" i="3" s="1"/>
  <c r="AC102" i="3" s="1" a="1"/>
  <c r="AC102" i="3" s="1"/>
  <c r="S96" i="3"/>
  <c r="T96" i="3" s="1" a="1"/>
  <c r="T96" i="3" s="1"/>
  <c r="AJ92" i="3"/>
  <c r="AG92" i="3"/>
  <c r="AL92" i="3"/>
  <c r="AM88" i="3" s="1"/>
  <c r="AI92" i="3"/>
  <c r="AH92" i="3"/>
  <c r="AN92" i="3"/>
  <c r="AF92" i="3"/>
  <c r="AS92" i="3"/>
  <c r="S103" i="3" l="1"/>
  <c r="T103" i="3" s="1" a="1"/>
  <c r="T103" i="3" s="1"/>
  <c r="CG24" i="3"/>
  <c r="S111" i="3" s="1"/>
  <c r="T111" i="3" s="1"/>
  <c r="AM84" i="3"/>
  <c r="AM86" i="3"/>
  <c r="AM87" i="3"/>
  <c r="AM81" i="3"/>
  <c r="AM80" i="3"/>
  <c r="AM83" i="3"/>
  <c r="AM89" i="3"/>
  <c r="AM90" i="3"/>
  <c r="AM82" i="3"/>
  <c r="AM85" i="3"/>
  <c r="AM9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S102" i="3" l="1"/>
  <c r="T102" i="3" s="1" a="1"/>
  <c r="T102" i="3" s="1"/>
  <c r="CG23" i="3"/>
  <c r="AP80" i="3"/>
  <c r="AP91" i="3"/>
  <c r="AP88" i="3"/>
  <c r="AP90" i="3"/>
  <c r="AP89" i="3"/>
  <c r="AP86" i="3"/>
  <c r="AP84" i="3"/>
  <c r="AP85" i="3"/>
  <c r="AP81" i="3"/>
  <c r="AP83" i="3"/>
  <c r="AP82" i="3"/>
  <c r="CN37" i="3" l="1"/>
  <c r="CK68" i="3" s="1"/>
  <c r="CN48" i="3"/>
  <c r="AD89" i="3"/>
  <c r="AS89" i="3" s="1"/>
  <c r="AD84" i="3"/>
  <c r="AS84" i="3" s="1"/>
  <c r="AD85" i="3"/>
  <c r="AS85" i="3" s="1"/>
  <c r="AD82" i="3"/>
  <c r="AS82" i="3" s="1"/>
  <c r="AD86" i="3"/>
  <c r="AS86" i="3" s="1"/>
  <c r="AD83" i="3"/>
  <c r="AS83" i="3" s="1"/>
  <c r="AD81" i="3"/>
  <c r="AS81" i="3" s="1"/>
  <c r="AD80" i="3"/>
  <c r="AR80" i="3" s="1"/>
  <c r="AD87" i="3"/>
  <c r="AS87" i="3" s="1"/>
  <c r="AD88" i="3"/>
  <c r="AS88" i="3" s="1"/>
  <c r="AD91" i="3"/>
  <c r="AS91" i="3" s="1"/>
  <c r="AD90" i="3"/>
  <c r="AS90" i="3" s="1"/>
  <c r="AR81" i="3" l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M81" i="3"/>
  <c r="M88" i="3"/>
  <c r="J91" i="3"/>
  <c r="J92" i="3"/>
  <c r="M92" i="3"/>
  <c r="L87" i="3"/>
  <c r="L92" i="3"/>
  <c r="M83" i="3"/>
  <c r="N87" i="3"/>
  <c r="J86" i="3"/>
  <c r="J82" i="3"/>
  <c r="O92" i="3"/>
  <c r="N88" i="3"/>
  <c r="N92" i="3"/>
  <c r="L81" i="3"/>
  <c r="M89" i="3"/>
  <c r="O82" i="3"/>
  <c r="J88" i="3"/>
  <c r="O84" i="3"/>
  <c r="O81" i="3"/>
  <c r="N81" i="3"/>
  <c r="M86" i="3"/>
  <c r="L86" i="3"/>
  <c r="O86" i="3"/>
  <c r="N86" i="3"/>
  <c r="O87" i="3"/>
  <c r="N82" i="3"/>
  <c r="J87" i="3"/>
  <c r="J83" i="3"/>
  <c r="N83" i="3"/>
  <c r="L82" i="3"/>
  <c r="L88" i="3"/>
  <c r="L89" i="3"/>
  <c r="J89" i="3"/>
  <c r="M82" i="3"/>
  <c r="J81" i="3"/>
  <c r="O88" i="3"/>
  <c r="M87" i="3"/>
  <c r="L83" i="3"/>
  <c r="N89" i="3"/>
  <c r="O89" i="3"/>
  <c r="N91" i="3"/>
  <c r="O85" i="3"/>
  <c r="AS80" i="3"/>
  <c r="M85" i="3"/>
  <c r="O83" i="3"/>
  <c r="L85" i="3"/>
  <c r="M91" i="3"/>
  <c r="N85" i="3"/>
  <c r="L91" i="3"/>
  <c r="J85" i="3"/>
  <c r="M84" i="3"/>
  <c r="L90" i="3"/>
  <c r="M90" i="3"/>
  <c r="J90" i="3"/>
  <c r="O90" i="3"/>
  <c r="O91" i="3"/>
  <c r="J84" i="3"/>
  <c r="N90" i="3"/>
  <c r="L84" i="3"/>
  <c r="N84" i="3"/>
  <c r="S90" i="3" l="1"/>
  <c r="T90" i="3" s="1" a="1"/>
  <c r="T90" i="3" s="1"/>
  <c r="BS36" i="3"/>
  <c r="P88" i="3"/>
  <c r="K87" i="3"/>
  <c r="K81" i="3"/>
  <c r="P92" i="3"/>
  <c r="P81" i="3"/>
  <c r="P86" i="3"/>
  <c r="P83" i="3"/>
  <c r="K92" i="3"/>
  <c r="P89" i="3"/>
  <c r="K86" i="3"/>
  <c r="P82" i="3"/>
  <c r="K88" i="3"/>
  <c r="K82" i="3"/>
  <c r="K89" i="3"/>
  <c r="P87" i="3"/>
  <c r="K83" i="3"/>
  <c r="P85" i="3"/>
  <c r="K85" i="3"/>
  <c r="K91" i="3"/>
  <c r="K90" i="3"/>
  <c r="P91" i="3"/>
  <c r="P84" i="3"/>
  <c r="P90" i="3"/>
  <c r="K84" i="3"/>
  <c r="G3" i="4"/>
  <c r="BL11" i="3" s="1"/>
  <c r="H3" i="4"/>
  <c r="BL39" i="3" s="1"/>
  <c r="B3" i="4"/>
  <c r="K3" i="4"/>
  <c r="BL55" i="3" s="1"/>
  <c r="E3" i="4"/>
  <c r="BL67" i="3" s="1"/>
  <c r="J3" i="4"/>
  <c r="BL71" i="3" s="1"/>
  <c r="I3" i="4"/>
  <c r="BL15" i="3" s="1"/>
  <c r="D3" i="4"/>
  <c r="BL51" i="3" s="1"/>
  <c r="BS53" i="3"/>
  <c r="BS52" i="3"/>
  <c r="BZ49" i="3" s="1"/>
  <c r="CG55" i="3" s="1"/>
  <c r="CN49" i="3" s="1"/>
  <c r="BS69" i="3"/>
  <c r="BZ65" i="3" s="1"/>
  <c r="CG56" i="3" s="1"/>
  <c r="CN38" i="3" s="1"/>
  <c r="BS68" i="3"/>
  <c r="S91" i="3" l="1"/>
  <c r="T91" i="3" s="1" a="1"/>
  <c r="T91" i="3" s="1"/>
  <c r="BS37" i="3"/>
  <c r="S98" i="3" l="1"/>
  <c r="T98" i="3" s="1" a="1"/>
  <c r="T98" i="3" s="1"/>
  <c r="BZ33" i="3"/>
  <c r="U103" i="3" s="1"/>
  <c r="AC103" i="3" s="1" a="1"/>
  <c r="AC10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<sst xmlns="http://schemas.openxmlformats.org/spreadsheetml/2006/main" count="9786" uniqueCount="3698">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</sst>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kobling" xfId="1" builtinId="8"/>
    <cellStyle name="Merknad" xfId="2" builtinId="10"/>
    <cellStyle name="Normal" xfId="0" builtinId="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54" zoomScaleNormal="100" workbookViewId="0">
      <selection activeCell="F60" sqref="F60"/>
    </sheetView>
  </sheetViews>
  <sheetFormatPr baseColWidth="10"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1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3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Republic_lose</v>
      </c>
      <c r="T8" s="127" t="str">
        <f t="shared" si="2"/>
        <v>Czech Republic_win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-1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3</v>
      </c>
      <c r="AL8" s="123">
        <f>AI8-AJ8</f>
        <v>3</v>
      </c>
      <c r="AM8" s="123">
        <f>AL8-AL12</f>
        <v>5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90000009.191316694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6 - 3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2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0.14357200785714286</v>
      </c>
      <c r="AQ9" s="126">
        <f>VLOOKUP(AE9,db_fifarank,2,FALSE)</f>
        <v>1429.73</v>
      </c>
      <c r="AR9" s="125">
        <f>AP9/AP12</f>
        <v>1.595244351105583E-9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1</v>
      </c>
      <c r="G10" s="20">
        <v>0</v>
      </c>
      <c r="H10" s="80" t="str">
        <f>AE27</f>
        <v>Paraguay</v>
      </c>
      <c r="J10" s="33" t="str">
        <f>VLOOKUP(2,AD8:AN11,2,FALSE)</f>
        <v>Czech Republic</v>
      </c>
      <c r="K10" s="23">
        <f>L10+M10+N10</f>
        <v>3</v>
      </c>
      <c r="L10" s="23">
        <f>VLOOKUP(2,AD8:AN11,3,FALSE)</f>
        <v>2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5 - 4</v>
      </c>
      <c r="P10" s="34">
        <f>L10*3+M10</f>
        <v>6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0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3</v>
      </c>
      <c r="AJ10" s="123">
        <f>SUMIF($E$7:$E$78,$AE10,$G$7:$G$78) + SUMIF($H$7:$H$78,$AE10,$F$7:$F$78)</f>
        <v>5</v>
      </c>
      <c r="AL10" s="123">
        <f>AI10-AJ10</f>
        <v>-2</v>
      </c>
      <c r="AM10" s="123">
        <f>AL10-AL12</f>
        <v>0</v>
      </c>
      <c r="AN10" s="123">
        <f>AF10*3+AG10</f>
        <v>0</v>
      </c>
      <c r="AO10" s="123">
        <f>AN10/AN12*10+BA10</f>
        <v>0</v>
      </c>
      <c r="AP10" s="123">
        <f>AO10*10000000+BI10*100+AM10/AM12*10+AI10/AI12*1++IF(AQ10=0,ROW(),AQ10)/2000000</f>
        <v>0.42936575857142856</v>
      </c>
      <c r="AQ10" s="126">
        <f>VLOOKUP(AE10,db_fifarank,2,FALSE)</f>
        <v>1588.66</v>
      </c>
      <c r="AR10" s="125">
        <f>AP10/AP12</f>
        <v>4.7707301105711905E-9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2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3 - 5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2</v>
      </c>
      <c r="AE11" s="124" t="str">
        <f>VLOOKUP("Czech Republic",T,lang,FALSE)</f>
        <v>Czech Republic</v>
      </c>
      <c r="AF11" s="123">
        <f>COUNTIF($S$7:$T$78,"=" &amp; AE11 &amp; "_win")</f>
        <v>2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5</v>
      </c>
      <c r="AJ11" s="123">
        <f>SUMIF($E$7:$E$78,$AE11,$G$7:$G$78) + SUMIF($H$7:$H$78,$AE11,$F$7:$F$78)</f>
        <v>4</v>
      </c>
      <c r="AL11" s="123">
        <f>AI11-AJ11</f>
        <v>1</v>
      </c>
      <c r="AM11" s="123">
        <f>AL11-AL12</f>
        <v>3</v>
      </c>
      <c r="AN11" s="123">
        <f>AF11*3+AG11</f>
        <v>6</v>
      </c>
      <c r="AO11" s="123">
        <f>AN11/AN12*10+BA11</f>
        <v>6</v>
      </c>
      <c r="AP11" s="123">
        <f>AO11*10000000+BI11*100+AM11/AM12*10+AI11/AI12*1++IF(AQ11=0,ROW(),AQ11)/2000000</f>
        <v>60000005.715036407</v>
      </c>
      <c r="AQ11" s="126">
        <f>VLOOKUP(AE11,db_fifarank,2,FALSE)</f>
        <v>1501.38</v>
      </c>
      <c r="AR11" s="125">
        <f>AP11/AP12</f>
        <v>0.66666665467583774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0</v>
      </c>
      <c r="G12" s="20">
        <v>2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2</v>
      </c>
      <c r="O12" s="36" t="str">
        <f>VLOOKUP(4,AD8:AN11,6,FALSE) &amp; " - " &amp; VLOOKUP(4,AD8:AN11,7,FALSE)</f>
        <v>1 - 3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Australia_lose</v>
      </c>
      <c r="T12" s="127" t="str">
        <f t="shared" si="2"/>
        <v>Turkey_win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-1</v>
      </c>
      <c r="AF12" s="123">
        <f t="shared" ref="AF12:AH12" si="12">MAX(AF8:AF11)-MIN(AF8:AF11)+1</f>
        <v>4</v>
      </c>
      <c r="AG12" s="123">
        <f t="shared" si="12"/>
        <v>1</v>
      </c>
      <c r="AH12" s="123">
        <f t="shared" si="12"/>
        <v>3</v>
      </c>
      <c r="AI12" s="123">
        <f>MAX(AI8:AI11)+1</f>
        <v>7</v>
      </c>
      <c r="AL12" s="123">
        <f>MIN(AL8:AL11)</f>
        <v>-2</v>
      </c>
      <c r="AM12" s="123">
        <f>MAX(AM8:AM11)+1</f>
        <v>6</v>
      </c>
      <c r="AN12" s="123">
        <f>MAX(AN8:AN11)+1</f>
        <v>10</v>
      </c>
      <c r="AO12" s="123">
        <f>MAX(AO8:AO11)+1</f>
        <v>10</v>
      </c>
      <c r="AP12" s="123">
        <f>MAX(AP8:AP11)+1</f>
        <v>90000010.191316694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2</v>
      </c>
      <c r="G13" s="20">
        <v>2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2</v>
      </c>
      <c r="W13" s="123">
        <f t="shared" si="4"/>
        <v>2</v>
      </c>
      <c r="X13" s="123">
        <f t="shared" si="9"/>
        <v>1</v>
      </c>
      <c r="Y13" s="123">
        <f t="shared" si="10"/>
        <v>2</v>
      </c>
      <c r="Z13" s="123">
        <f t="shared" si="11"/>
        <v>2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0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Qatar_lose</v>
      </c>
      <c r="T14" s="127" t="str">
        <f t="shared" si="2"/>
        <v>Switzerland_win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-1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2</v>
      </c>
      <c r="AH14" s="123">
        <f>COUNTIF($S$7:$T$78,"=" &amp; AE14 &amp; "_lose")</f>
        <v>0</v>
      </c>
      <c r="AI14" s="123">
        <f>SUMIF($E$7:$E$78,$AE14,$F$7:$F$78) + SUMIF($H$7:$H$78,$AE14,$G$7:$G$78)</f>
        <v>3</v>
      </c>
      <c r="AJ14" s="123">
        <f>SUMIF($E$7:$E$78,$AE14,$G$7:$G$78) + SUMIF($H$7:$H$78,$AE14,$F$7:$F$78)</f>
        <v>2</v>
      </c>
      <c r="AL14" s="123">
        <f>AI14-AJ14</f>
        <v>1</v>
      </c>
      <c r="AM14" s="123">
        <f>AL14-AL18</f>
        <v>4</v>
      </c>
      <c r="AN14" s="123">
        <f>AF14*3+AG14</f>
        <v>5</v>
      </c>
      <c r="AO14" s="123">
        <f>AN14/AN18*10+BA14</f>
        <v>9.3186991869918714</v>
      </c>
      <c r="AP14" s="123">
        <f>AO14*10000000+BI14*100+AM14/AM18*10+AI14/AI18*1++IF(AQ14=0,ROW(),AQ14)/2000000</f>
        <v>93187099.157282323</v>
      </c>
      <c r="AQ14" s="126">
        <f>VLOOKUP(AE14,db_fifarank,2,FALSE)</f>
        <v>1556.48</v>
      </c>
      <c r="AR14" s="125">
        <f>AP14/AP18</f>
        <v>0.99999998926840239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2</v>
      </c>
      <c r="AV14" s="126" cm="1">
        <f t="array" ref="AV14">SUMPRODUCT(($E$7:$E$78=AE14)*($U$7:$U$78)*($F$7:$F$78))+SUMPRODUCT(($H$7:$H$78=AE14)*($U$7:$U$78)*($G$7:$G$78))</f>
        <v>2</v>
      </c>
      <c r="AW14" s="126" cm="1">
        <f t="array" ref="AW14">SUMPRODUCT(($E$7:$E$78=AE14)*($U$7:$U$78)*($G$7:$G$78))+SUMPRODUCT(($H$7:$H$78=AE14)*($U$7:$U$78)*($F$7:$F$78))</f>
        <v>2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67.333333333333329</v>
      </c>
      <c r="BA14" s="126">
        <f>AZ14/AZ18</f>
        <v>0.98536585365853657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2</v>
      </c>
      <c r="BD14" s="126" cm="1">
        <f t="array" ref="BD14">SUMPRODUCT(($E$7:$E$78=AE14)*($X$7:$X$78)*($F$7:$F$78))+SUMPRODUCT(($H$7:$H$78=AE14)*($X$7:$X$78)*($G$7:$G$78))</f>
        <v>2</v>
      </c>
      <c r="BE14" s="126" cm="1">
        <f t="array" ref="BE14">SUMPRODUCT(($E$7:$E$78=AE14)*($X$7:$X$78)*($G$7:$G$78))+SUMPRODUCT(($H$7:$H$78=AE14)*($X$7:$X$78)*($F$7:$F$78))</f>
        <v>2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67.333333333333329</v>
      </c>
      <c r="BI14" s="126">
        <f>BH14/BH18</f>
        <v>0.98536585365853657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2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1</v>
      </c>
      <c r="M15" s="31">
        <f>VLOOKUP(1,AD14:AN17,4,FALSE)</f>
        <v>2</v>
      </c>
      <c r="N15" s="31">
        <f>VLOOKUP(1,AD14:AN17,5,FALSE)</f>
        <v>0</v>
      </c>
      <c r="O15" s="31" t="str">
        <f>VLOOKUP(1,AD14:AN17,6,FALSE) &amp; " - " &amp; VLOOKUP(1,AD14:AN17,7,FALSE)</f>
        <v>3 - 2</v>
      </c>
      <c r="P15" s="32">
        <f>L15*3+M15</f>
        <v>5</v>
      </c>
      <c r="R15" s="123">
        <f>DATE(2026,6,14)+TIME(12,0,0)+gmt_delta</f>
        <v>46187.958333333336</v>
      </c>
      <c r="S15" s="127" t="str">
        <f t="shared" si="1"/>
        <v>Ivory Coast_lose</v>
      </c>
      <c r="T15" s="127" t="str">
        <f t="shared" si="2"/>
        <v>Ecuador_win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-1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2</v>
      </c>
      <c r="AH15" s="123">
        <f>COUNTIF($S$7:$T$78,"=" &amp; AE15 &amp; "_lose")</f>
        <v>0</v>
      </c>
      <c r="AI15" s="123">
        <f>SUMIF($E$7:$E$78,$AE15,$F$7:$F$78) + SUMIF($H$7:$H$78,$AE15,$G$7:$G$78)</f>
        <v>3</v>
      </c>
      <c r="AJ15" s="123">
        <f>SUMIF($E$7:$E$78,$AE15,$G$7:$G$78) + SUMIF($H$7:$H$78,$AE15,$F$7:$F$78)</f>
        <v>2</v>
      </c>
      <c r="AL15" s="123">
        <f>AI15-AJ15</f>
        <v>1</v>
      </c>
      <c r="AM15" s="123">
        <f>AL15-AL18</f>
        <v>4</v>
      </c>
      <c r="AN15" s="123">
        <f>AF15*3+AG15</f>
        <v>5</v>
      </c>
      <c r="AO15" s="123">
        <f>AN15/AN18*10+BA15</f>
        <v>9.3186991869918714</v>
      </c>
      <c r="AP15" s="123">
        <f>AO15*10000000+BI15*100+AM15/AM18*10+AI15/AI18*1++IF(AQ15=0,ROW(),AQ15)/2000000</f>
        <v>93187099.157196999</v>
      </c>
      <c r="AQ15" s="126">
        <f>VLOOKUP(AE15,db_fifarank,2,FALSE)</f>
        <v>1385.84</v>
      </c>
      <c r="AR15" s="125">
        <f>AP15/AP18</f>
        <v>0.99999998926748679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2</v>
      </c>
      <c r="AV15" s="126" cm="1">
        <f t="array" ref="AV15">SUMPRODUCT(($E$7:$E$78=AE15)*($U$7:$U$78)*($F$7:$F$78))+SUMPRODUCT(($H$7:$H$78=AE15)*($U$7:$U$78)*($G$7:$G$78))</f>
        <v>2</v>
      </c>
      <c r="AW15" s="126" cm="1">
        <f t="array" ref="AW15">SUMPRODUCT(($E$7:$E$78=AE15)*($U$7:$U$78)*($G$7:$G$78))+SUMPRODUCT(($H$7:$H$78=AE15)*($U$7:$U$78)*($F$7:$F$78))</f>
        <v>2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67.333333333333329</v>
      </c>
      <c r="BA15" s="126">
        <f>AZ15/AZ18</f>
        <v>0.98536585365853657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2</v>
      </c>
      <c r="BD15" s="126" cm="1">
        <f t="array" ref="BD15">SUMPRODUCT(($E$7:$E$78=AE15)*($X$7:$X$78)*($F$7:$F$78))+SUMPRODUCT(($H$7:$H$78=AE15)*($X$7:$X$78)*($G$7:$G$78))</f>
        <v>2</v>
      </c>
      <c r="BE15" s="126" cm="1">
        <f t="array" ref="BE15">SUMPRODUCT(($E$7:$E$78=AE15)*($X$7:$X$78)*($G$7:$G$78))+SUMPRODUCT(($H$7:$H$78=AE15)*($X$7:$X$78)*($F$7:$F$78))</f>
        <v>2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67.333333333333329</v>
      </c>
      <c r="BI15" s="126">
        <f>BH15/BH18</f>
        <v>0.98536585365853657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3</v>
      </c>
      <c r="G16" s="20">
        <v>0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2</v>
      </c>
      <c r="N16" s="23">
        <f>VLOOKUP(2,AD14:AN17,5,FALSE)</f>
        <v>0</v>
      </c>
      <c r="O16" s="23" t="str">
        <f>VLOOKUP(2,AD14:AN17,6,FALSE) &amp; " - " &amp; VLOOKUP(2,AD14:AN17,7,FALSE)</f>
        <v>3 - 2</v>
      </c>
      <c r="P16" s="34">
        <f>L16*3+M16</f>
        <v>5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3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3</v>
      </c>
      <c r="AL16" s="123">
        <f>AI16-AJ16</f>
        <v>-3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7.8066599215104628E-12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1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2</v>
      </c>
      <c r="N17" s="23">
        <f>VLOOKUP(3,AD14:AN17,5,FALSE)</f>
        <v>0</v>
      </c>
      <c r="O17" s="23" t="str">
        <f>VLOOKUP(3,AD14:AN17,6,FALSE) &amp; " - " &amp; VLOOKUP(3,AD14:AN17,7,FALSE)</f>
        <v>3 - 2</v>
      </c>
      <c r="P17" s="34">
        <f>L17*3+M17</f>
        <v>5</v>
      </c>
      <c r="R17" s="123">
        <f>DATE(2026,6,14)+TIME(9,0,0)+gmt_delta</f>
        <v>46187.833333333336</v>
      </c>
      <c r="S17" s="127" t="str">
        <f t="shared" si="1"/>
        <v>Netherlands_win</v>
      </c>
      <c r="T17" s="127" t="str">
        <f t="shared" si="2"/>
        <v>Japan_lose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1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2</v>
      </c>
      <c r="AH17" s="123">
        <f>COUNTIF($S$7:$T$78,"=" &amp; AE17 &amp; "_lose")</f>
        <v>0</v>
      </c>
      <c r="AI17" s="123">
        <f>SUMIF($E$7:$E$78,$AE17,$F$7:$F$78) + SUMIF($H$7:$H$78,$AE17,$G$7:$G$78)</f>
        <v>3</v>
      </c>
      <c r="AJ17" s="123">
        <f>SUMIF($E$7:$E$78,$AE17,$G$7:$G$78) + SUMIF($H$7:$H$78,$AE17,$F$7:$F$78)</f>
        <v>2</v>
      </c>
      <c r="AL17" s="123">
        <f>AI17-AJ17</f>
        <v>1</v>
      </c>
      <c r="AM17" s="123">
        <f>AL17-AL18</f>
        <v>4</v>
      </c>
      <c r="AN17" s="123">
        <f>AF17*3+AG17</f>
        <v>5</v>
      </c>
      <c r="AO17" s="123">
        <f>AN17/AN18*10+BA17</f>
        <v>9.3186991869918714</v>
      </c>
      <c r="AP17" s="123">
        <f>AO17*10000000+BI17*100+AM17/AM18*10+AI17/AI18*1++IF(AQ17=0,ROW(),AQ17)/2000000</f>
        <v>93187099.157328784</v>
      </c>
      <c r="AQ17" s="126">
        <f>VLOOKUP(AE17,db_fifarank,2,FALSE)</f>
        <v>1649.4</v>
      </c>
      <c r="AR17" s="125">
        <f>AP17/AP18</f>
        <v>0.99999998926890099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2</v>
      </c>
      <c r="AV17" s="126" cm="1">
        <f t="array" ref="AV17">SUMPRODUCT(($E$7:$E$78=AE17)*($U$7:$U$78)*($F$7:$F$78))+SUMPRODUCT(($H$7:$H$78=AE17)*($U$7:$U$78)*($G$7:$G$78))</f>
        <v>2</v>
      </c>
      <c r="AW17" s="126" cm="1">
        <f t="array" ref="AW17">SUMPRODUCT(($E$7:$E$78=AE17)*($U$7:$U$78)*($G$7:$G$78))+SUMPRODUCT(($H$7:$H$78=AE17)*($U$7:$U$78)*($F$7:$F$78))</f>
        <v>2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67.333333333333329</v>
      </c>
      <c r="BA17" s="126">
        <f>AZ17/AZ18</f>
        <v>0.98536585365853657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2</v>
      </c>
      <c r="BD17" s="126" cm="1">
        <f t="array" ref="BD17">SUMPRODUCT(($E$7:$E$78=AE17)*($X$7:$X$78)*($F$7:$F$78))+SUMPRODUCT(($H$7:$H$78=AE17)*($X$7:$X$78)*($G$7:$G$78))</f>
        <v>2</v>
      </c>
      <c r="BE17" s="126" cm="1">
        <f t="array" ref="BE17">SUMPRODUCT(($E$7:$E$78=AE17)*($X$7:$X$78)*($G$7:$G$78))+SUMPRODUCT(($H$7:$H$78=AE17)*($X$7:$X$78)*($F$7:$F$78))</f>
        <v>2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67.333333333333329</v>
      </c>
      <c r="BI17" s="126">
        <f>BH17/BH18</f>
        <v>0.98536585365853657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1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3</v>
      </c>
      <c r="O18" s="36" t="str">
        <f>VLOOKUP(4,AD14:AN17,6,FALSE) &amp; " - " &amp; VLOOKUP(4,AD14:AN17,7,FALSE)</f>
        <v>0 - 3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>Sweden_draw</v>
      </c>
      <c r="T18" s="127" t="str">
        <f t="shared" si="2"/>
        <v>Tunisia_draw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0</v>
      </c>
      <c r="AF18" s="123">
        <f t="shared" ref="AF18:AH18" si="13">MAX(AF14:AF17)-MIN(AF14:AF17)+1</f>
        <v>2</v>
      </c>
      <c r="AG18" s="123">
        <f t="shared" si="13"/>
        <v>3</v>
      </c>
      <c r="AH18" s="123">
        <f t="shared" si="13"/>
        <v>4</v>
      </c>
      <c r="AI18" s="123">
        <f>MAX(AI14:AI17)+1</f>
        <v>4</v>
      </c>
      <c r="AL18" s="123">
        <f>MIN(AL14:AL17)</f>
        <v>-3</v>
      </c>
      <c r="AM18" s="123">
        <f>MAX(AM14:AM17)+1</f>
        <v>5</v>
      </c>
      <c r="AN18" s="123">
        <f>MAX(AN14:AN17)+1</f>
        <v>6</v>
      </c>
      <c r="AO18" s="123">
        <f>MAX(AO14:AO17)+1</f>
        <v>10.318699186991871</v>
      </c>
      <c r="AP18" s="123">
        <f>MAX(AP14:AP17)+1</f>
        <v>93187100.157328784</v>
      </c>
      <c r="AT18" s="126">
        <f>MAX(AT14:AT17)-MIN(AT14:AT17)+1</f>
        <v>1</v>
      </c>
      <c r="AU18" s="126">
        <f>MAX(AU14:AU17)-MIN(AU14:AU17)+1</f>
        <v>3</v>
      </c>
      <c r="AV18" s="126">
        <f>MAX(AV14:AV17)-MIN(AV14:AV17)+1</f>
        <v>3</v>
      </c>
      <c r="AW18" s="126">
        <f>MAX(AW14:AW17)-MIN(AW14:AW17)+1</f>
        <v>3</v>
      </c>
      <c r="AY18" s="126">
        <f>MAX(AY14:AY17)-MIN(AY14:AY17)+1</f>
        <v>1</v>
      </c>
      <c r="AZ18" s="126">
        <f>MAX(AZ14:AZ17)+1</f>
        <v>68.333333333333329</v>
      </c>
      <c r="BB18" s="126">
        <f>MAX(BB14:BB17)-MIN(BB14:BB17)+1</f>
        <v>1</v>
      </c>
      <c r="BC18" s="126">
        <f>MAX(BC14:BC17)-MIN(BC14:BC17)+1</f>
        <v>3</v>
      </c>
      <c r="BD18" s="126">
        <f>MAX(BD14:BD17)-MIN(BD14:BD17)+1</f>
        <v>3</v>
      </c>
      <c r="BE18" s="126">
        <f>MAX(BE14:BE17)-MIN(BE14:BE17)+1</f>
        <v>3</v>
      </c>
      <c r="BG18" s="126">
        <f>MAX(BG14:BG17)-MIN(BG14:BG17)+1</f>
        <v>1</v>
      </c>
      <c r="BH18" s="126">
        <f>MAX(BH14:BH17)+1</f>
        <v>68.333333333333329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0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Arabia_lose</v>
      </c>
      <c r="T19" s="127" t="str">
        <f t="shared" si="2"/>
        <v>Uruguay_win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-1</v>
      </c>
      <c r="BK19" s="14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5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Spain_win</v>
      </c>
      <c r="T20" s="127" t="str">
        <f t="shared" si="2"/>
        <v>Cape Verde_lose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1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3</v>
      </c>
      <c r="AL20" s="123">
        <f>AI20-AJ20</f>
        <v>4</v>
      </c>
      <c r="AM20" s="123">
        <f>AL20-AL24</f>
        <v>11</v>
      </c>
      <c r="AN20" s="123">
        <f>AF20*3+AG20</f>
        <v>7</v>
      </c>
      <c r="AO20" s="123">
        <f>AN20/AN24*10+BA20</f>
        <v>9.7306451612903224</v>
      </c>
      <c r="AP20" s="123">
        <f>AO20*10000000+BI20*100+AM20/AM24*10+AI20/AI24*1++IF(AQ20=0,ROW(),AQ20)/2000000</f>
        <v>97306559.719966605</v>
      </c>
      <c r="AQ20" s="126">
        <f>VLOOKUP(AE20,db_fifarank,2,FALSE)</f>
        <v>1761.16</v>
      </c>
      <c r="AR20" s="125">
        <f>AP20/AP24</f>
        <v>0.9999999897232007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2</v>
      </c>
      <c r="AW20" s="126" cm="1">
        <f t="array" ref="AW20">SUMPRODUCT(($E$7:$E$78=AE20)*($U$7:$U$78)*($G$7:$G$78))+SUMPRODUCT(($H$7:$H$78=AE20)*($U$7:$U$78)*($F$7:$F$78))</f>
        <v>2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50.666666666666664</v>
      </c>
      <c r="BA20" s="126">
        <f>AZ20/AZ24</f>
        <v>0.98064516129032253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2</v>
      </c>
      <c r="BE20" s="126" cm="1">
        <f t="array" ref="BE20">SUMPRODUCT(($E$7:$E$78=AE20)*($X$7:$X$78)*($G$7:$G$78))+SUMPRODUCT(($H$7:$H$78=AE20)*($X$7:$X$78)*($F$7:$F$78))</f>
        <v>2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50.666666666666664</v>
      </c>
      <c r="BI20" s="126">
        <f>BH20/BH24</f>
        <v>0.98064516129032253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0</v>
      </c>
      <c r="G21" s="20">
        <v>0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7 - 3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0</v>
      </c>
      <c r="W21" s="123">
        <f t="shared" si="4"/>
        <v>0</v>
      </c>
      <c r="X21" s="123">
        <f t="shared" si="9"/>
        <v>1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5</v>
      </c>
      <c r="AJ21" s="123">
        <f>SUMIF($E$7:$E$78,$AE21,$G$7:$G$78) + SUMIF($H$7:$H$78,$AE21,$F$7:$F$78)</f>
        <v>2</v>
      </c>
      <c r="AL21" s="123">
        <f>AI21-AJ21</f>
        <v>3</v>
      </c>
      <c r="AM21" s="123">
        <f>AL21-AL24</f>
        <v>10</v>
      </c>
      <c r="AN21" s="123">
        <f>AF21*3+AG21</f>
        <v>7</v>
      </c>
      <c r="AO21" s="123">
        <f>AN21/AN24*10+BA21</f>
        <v>9.7306451612903224</v>
      </c>
      <c r="AP21" s="123">
        <f>AO21*10000000+BI21*100+AM21/AM24*10+AI21/AI24*1++IF(AQ21=0,ROW(),AQ21)/2000000</f>
        <v>97306558.63663061</v>
      </c>
      <c r="AQ21" s="126">
        <f>VLOOKUP(AE21,db_fifarank,2,FALSE)</f>
        <v>1755.87</v>
      </c>
      <c r="AR21" s="125">
        <f>AP21/AP24</f>
        <v>0.99999997858997403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2</v>
      </c>
      <c r="AW21" s="126" cm="1">
        <f t="array" ref="AW21">SUMPRODUCT(($E$7:$E$78=AE21)*($U$7:$U$78)*($G$7:$G$78))+SUMPRODUCT(($H$7:$H$78=AE21)*($U$7:$U$78)*($F$7:$F$78))</f>
        <v>2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50.666666666666664</v>
      </c>
      <c r="BA21" s="126">
        <f>AZ21/AZ24</f>
        <v>0.98064516129032253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2</v>
      </c>
      <c r="BE21" s="126" cm="1">
        <f t="array" ref="BE21">SUMPRODUCT(($E$7:$E$78=AE21)*($X$7:$X$78)*($G$7:$G$78))+SUMPRODUCT(($H$7:$H$78=AE21)*($X$7:$X$78)*($F$7:$F$78))</f>
        <v>2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50.666666666666664</v>
      </c>
      <c r="BI21" s="126">
        <f>BH21/BH24</f>
        <v>0.98064516129032253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3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5 - 2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Belgium_win</v>
      </c>
      <c r="T22" s="127" t="str">
        <f t="shared" si="2"/>
        <v>Egypt_lose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1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7</v>
      </c>
      <c r="AL22" s="123">
        <f>AI22-AJ22</f>
        <v>-7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6.6373222444750857E-12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2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3 - 3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3</v>
      </c>
      <c r="AJ23" s="123">
        <f>SUMIF($E$7:$E$78,$AE23,$G$7:$G$78) + SUMIF($H$7:$H$78,$AE23,$F$7:$F$78)</f>
        <v>3</v>
      </c>
      <c r="AL23" s="123">
        <f>AI23-AJ23</f>
        <v>0</v>
      </c>
      <c r="AM23" s="123">
        <f>AL23-AL24</f>
        <v>7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37500006.209082514</v>
      </c>
      <c r="AQ23" s="126">
        <f>VLOOKUP(AE23,db_fifarank,2,FALSE)</f>
        <v>1498.35</v>
      </c>
      <c r="AR23" s="125">
        <f>AP23/AP24</f>
        <v>0.38538003945080124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3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0 - 7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-7</v>
      </c>
      <c r="AM24" s="123">
        <f>MAX(AM20:AM23)+1</f>
        <v>12</v>
      </c>
      <c r="AN24" s="123">
        <f>MAX(AN20:AN23)+1</f>
        <v>8</v>
      </c>
      <c r="AO24" s="123">
        <f>MAX(AO20:AO23)+1</f>
        <v>10.730645161290322</v>
      </c>
      <c r="AP24" s="123">
        <f>MAX(AP20:AP23)+1</f>
        <v>97306560.719966605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3</v>
      </c>
      <c r="AW24" s="126">
        <f>MAX(AW20:AW23)-MIN(AW20:AW23)+1</f>
        <v>3</v>
      </c>
      <c r="AY24" s="126">
        <f>MAX(AY20:AY23)-MIN(AY20:AY23)+1</f>
        <v>1</v>
      </c>
      <c r="AZ24" s="126">
        <f>MAX(AZ20:AZ23)+1</f>
        <v>51.666666666666664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3</v>
      </c>
      <c r="BE24" s="126">
        <f>MAX(BE20:BE23)-MIN(BE20:BE23)+1</f>
        <v>3</v>
      </c>
      <c r="BG24" s="126">
        <f>MAX(BG20:BG23)-MIN(BG20:BG23)+1</f>
        <v>1</v>
      </c>
      <c r="BH24" s="126">
        <f>MAX(BH20:BH23)+1</f>
        <v>51.666666666666664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1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1</v>
      </c>
      <c r="G26" s="20">
        <v>0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2</v>
      </c>
      <c r="AJ26" s="123">
        <f>SUMIF($E$7:$E$78,$AE26,$G$7:$G$78) + SUMIF($H$7:$H$78,$AE26,$F$7:$F$78)</f>
        <v>0</v>
      </c>
      <c r="AL26" s="123">
        <f>AI26-AJ26</f>
        <v>2</v>
      </c>
      <c r="AM26" s="123">
        <f>AL26-AL30</f>
        <v>5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85714294.548455611</v>
      </c>
      <c r="AQ26" s="126">
        <f>VLOOKUP(AE26,db_fifarank,2,FALSE)</f>
        <v>1673.13</v>
      </c>
      <c r="AR26" s="125">
        <f>AP26/AP30</f>
        <v>0.9999999883333347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2 - 0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2</v>
      </c>
      <c r="AL27" s="123">
        <f>AI27-AJ27</f>
        <v>-1</v>
      </c>
      <c r="AM27" s="123">
        <f>AL27-AL30</f>
        <v>2</v>
      </c>
      <c r="AN27" s="123">
        <f>AF27*3+AG27</f>
        <v>1</v>
      </c>
      <c r="AO27" s="123">
        <f>AN27/AN30*10+BA27</f>
        <v>1.4285714285714284</v>
      </c>
      <c r="AP27" s="123">
        <f>AO27*10000000+BI27*100+AM27/AM30*10+AI27/AI30*1++IF(AQ27=0,ROW(),AQ27)/2000000</f>
        <v>14285717.869799368</v>
      </c>
      <c r="AQ27" s="126">
        <f>VLOOKUP(AE27,db_fifarank,2,FALSE)</f>
        <v>1503.5</v>
      </c>
      <c r="AR27" s="125">
        <f>AP27/AP30</f>
        <v>0.16666668935899301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2</v>
      </c>
      <c r="G28" s="20">
        <v>1</v>
      </c>
      <c r="H28" s="80" t="str">
        <f>AE75</f>
        <v>Croatia</v>
      </c>
      <c r="J28" s="33" t="str">
        <f>VLOOKUP(2,AD26:AN29,2,FALSE)</f>
        <v>Turkey</v>
      </c>
      <c r="K28" s="23">
        <f>L28+M28+N28</f>
        <v>2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0</v>
      </c>
      <c r="O28" s="23" t="str">
        <f>VLOOKUP(2,AD26:AN29,6,FALSE) &amp; " - " &amp; VLOOKUP(2,AD26:AN29,7,FALSE)</f>
        <v>3 - 1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4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2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3</v>
      </c>
      <c r="AL28" s="123">
        <f>AI28-AJ28</f>
        <v>-3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9.2205739421052768E-12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3</v>
      </c>
      <c r="G29" s="20">
        <v>0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0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1 - 2</v>
      </c>
      <c r="P29" s="34">
        <f>L29*3+M29</f>
        <v>1</v>
      </c>
      <c r="R29" s="123">
        <f>DATE(2026,6,17)+TIME(6,0,0)+gmt_delta</f>
        <v>46190.708333333336</v>
      </c>
      <c r="S29" s="127" t="str">
        <f t="shared" si="1"/>
        <v>Portugal_win</v>
      </c>
      <c r="T29" s="127" t="str">
        <f t="shared" si="2"/>
        <v>DR Congo_lose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1</v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1</v>
      </c>
      <c r="AH29" s="123">
        <f>COUNTIF($S$7:$T$78,"=" &amp; AE29 &amp; "_lose")</f>
        <v>0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1</v>
      </c>
      <c r="AL29" s="123">
        <f>AI29-AJ29</f>
        <v>2</v>
      </c>
      <c r="AM29" s="123">
        <f>AL29-AL30</f>
        <v>5</v>
      </c>
      <c r="AN29" s="123">
        <f>AF29*3+AG29</f>
        <v>4</v>
      </c>
      <c r="AO29" s="123">
        <f>AN29/AN30*10+BA29</f>
        <v>5.7142857142857135</v>
      </c>
      <c r="AP29" s="123">
        <f>AO29*10000000+BI29*100+AM29/AM30*10+AI29/AI30*1++IF(AQ29=0,ROW(),AQ29)/2000000</f>
        <v>57142866.226989992</v>
      </c>
      <c r="AQ29" s="126">
        <f>VLOOKUP(AE29,db_fifarank,2,FALSE)</f>
        <v>1599.04</v>
      </c>
      <c r="AR29" s="125">
        <f>AP29/AP30</f>
        <v>0.66666669616022511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0</v>
      </c>
      <c r="G30" s="20">
        <v>2</v>
      </c>
      <c r="H30" s="80" t="str">
        <f>AE71</f>
        <v>Colombia</v>
      </c>
      <c r="J30" s="35" t="str">
        <f>VLOOKUP(4,AD26:AN29,2,FALSE)</f>
        <v>Australia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2</v>
      </c>
      <c r="AH30" s="123">
        <f t="shared" si="15"/>
        <v>3</v>
      </c>
      <c r="AI30" s="123">
        <f>MAX(AI26:AI29)+1</f>
        <v>4</v>
      </c>
      <c r="AL30" s="123">
        <f>MIN(AL26:AL29)</f>
        <v>-3</v>
      </c>
      <c r="AM30" s="123">
        <f>MAX(AM26:AM29)+1</f>
        <v>6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85714295.548455611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0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Republic_win</v>
      </c>
      <c r="T31" s="127" t="str">
        <f t="shared" si="2"/>
        <v>South Africa_lose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1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1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Switzerland_draw</v>
      </c>
      <c r="T32" s="127" t="str">
        <f t="shared" si="2"/>
        <v>Bosnia and Herzegovina_draw</v>
      </c>
      <c r="U32" s="123">
        <f t="shared" si="8"/>
        <v>1</v>
      </c>
      <c r="V32" s="123">
        <f t="shared" si="3"/>
        <v>1</v>
      </c>
      <c r="W32" s="123">
        <f t="shared" si="4"/>
        <v>1</v>
      </c>
      <c r="X32" s="123">
        <f t="shared" si="9"/>
        <v>1</v>
      </c>
      <c r="Y32" s="123">
        <f t="shared" si="10"/>
        <v>1</v>
      </c>
      <c r="Z32" s="123">
        <f t="shared" si="11"/>
        <v>1</v>
      </c>
      <c r="AA32" s="123">
        <f t="shared" si="5"/>
        <v>0</v>
      </c>
      <c r="AB32" s="123">
        <f t="shared" si="6"/>
        <v>0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5</v>
      </c>
      <c r="AJ32" s="123">
        <f>SUMIF($E$7:$E$78,$AE32,$G$7:$G$78) + SUMIF($H$7:$H$78,$AE32,$F$7:$F$78)</f>
        <v>1</v>
      </c>
      <c r="AL32" s="123">
        <f>AI32-AJ32</f>
        <v>4</v>
      </c>
      <c r="AM32" s="123">
        <f>AL32-AL36</f>
        <v>9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85714295.548484236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1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5 - 1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2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5</v>
      </c>
      <c r="AL33" s="123">
        <f>AI33-AJ33</f>
        <v>-5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7.5521240454192037E-12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2</v>
      </c>
      <c r="G34" s="20">
        <v>1</v>
      </c>
      <c r="H34" s="80" t="str">
        <f>AE10</f>
        <v>Korea Republic</v>
      </c>
      <c r="J34" s="33" t="str">
        <f>VLOOKUP(2,AD32:AN35,2,FALSE)</f>
        <v>Ecuador</v>
      </c>
      <c r="K34" s="23">
        <f>L34+M34+N34</f>
        <v>2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4 - 1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2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4</v>
      </c>
      <c r="AL34" s="123">
        <f>AI34-AJ34</f>
        <v>-2</v>
      </c>
      <c r="AM34" s="123">
        <f>AL34-AL36</f>
        <v>3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3.3340998233333337</v>
      </c>
      <c r="AQ34" s="126">
        <f>VLOOKUP(AE34,db_fifarank,2,FALSE)</f>
        <v>1532.98</v>
      </c>
      <c r="AR34" s="125">
        <f>AP34/AP36</f>
        <v>3.8897826355576543E-8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Ivory Coast</v>
      </c>
      <c r="K35" s="23">
        <f>L35+M35+N35</f>
        <v>2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2</v>
      </c>
      <c r="O35" s="23" t="str">
        <f>VLOOKUP(3,AD32:AN35,6,FALSE) &amp; " - " &amp; VLOOKUP(3,AD32:AN35,7,FALSE)</f>
        <v>2 - 4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2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4</v>
      </c>
      <c r="AJ35" s="123">
        <f>SUMIF($E$7:$E$78,$AE35,$G$7:$G$78) + SUMIF($H$7:$H$78,$AE35,$F$7:$F$78)</f>
        <v>1</v>
      </c>
      <c r="AL35" s="123">
        <f>AI35-AJ35</f>
        <v>3</v>
      </c>
      <c r="AM35" s="123">
        <f>AL35-AL36</f>
        <v>8</v>
      </c>
      <c r="AN35" s="123">
        <f>AF35*3+AG35</f>
        <v>6</v>
      </c>
      <c r="AO35" s="123">
        <f>AN35/AN36*10+BA35</f>
        <v>8.5714285714285712</v>
      </c>
      <c r="AP35" s="123">
        <f>AO35*10000000+BI35*100+AM35/AM36*10+AI35/AI36*1++IF(AQ35=0,ROW(),AQ35)/2000000</f>
        <v>85714294.381749779</v>
      </c>
      <c r="AQ35" s="126">
        <f>VLOOKUP(AE35,db_fifarank,2,FALSE)</f>
        <v>1594.78</v>
      </c>
      <c r="AR35" s="125">
        <f>AP35/AP36</f>
        <v>0.99999997472143454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2</v>
      </c>
      <c r="O36" s="36" t="str">
        <f>VLOOKUP(4,AD32:AN35,6,FALSE) &amp; " - " &amp; VLOOKUP(4,AD32:AN35,7,FALSE)</f>
        <v>0 - 5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1</v>
      </c>
      <c r="AH36" s="123">
        <f t="shared" si="16"/>
        <v>3</v>
      </c>
      <c r="AI36" s="123">
        <f>MAX(AI32:AI35)+1</f>
        <v>6</v>
      </c>
      <c r="AL36" s="123">
        <f>MIN(AL32:AL35)</f>
        <v>-5</v>
      </c>
      <c r="AM36" s="123">
        <f>MAX(AM32:AM35)+1</f>
        <v>10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85714296.548484236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1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1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Turkey_draw</v>
      </c>
      <c r="T38" s="127" t="str">
        <f t="shared" si="2"/>
        <v>Paraguay_draw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0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3</v>
      </c>
      <c r="AJ38" s="123">
        <f>SUMIF($E$7:$E$78,$AE38,$G$7:$G$78) + SUMIF($H$7:$H$78,$AE38,$F$7:$F$78)</f>
        <v>1</v>
      </c>
      <c r="AL38" s="123">
        <f>AI38-AJ38</f>
        <v>2</v>
      </c>
      <c r="AM38" s="123">
        <f>AL38-AL42</f>
        <v>3</v>
      </c>
      <c r="AN38" s="123">
        <f>AF38*3+AG38</f>
        <v>6</v>
      </c>
      <c r="AO38" s="123">
        <f>AN38/AN42*10+BA38</f>
        <v>8.5714285714285712</v>
      </c>
      <c r="AP38" s="123">
        <f>AO38*10000000+BI38*100+AM38/AM42*10+AI38/AI42*1++IF(AQ38=0,ROW(),AQ38)/2000000</f>
        <v>85714293.965164647</v>
      </c>
      <c r="AQ38" s="126">
        <f>VLOOKUP(AE38,db_fifarank,2,FALSE)</f>
        <v>1757.87</v>
      </c>
      <c r="AR38" s="125">
        <f>AP38/AP42</f>
        <v>0.99999998833333459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2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3 - 1</v>
      </c>
      <c r="P39" s="32">
        <f>L39*3+M39</f>
        <v>6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1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3</v>
      </c>
      <c r="AL39" s="123">
        <f>AI39-AJ39</f>
        <v>-1</v>
      </c>
      <c r="AM39" s="123">
        <f>AL39-AL42</f>
        <v>0</v>
      </c>
      <c r="AN39" s="123">
        <f>AF39*3+AG39</f>
        <v>1</v>
      </c>
      <c r="AO39" s="123">
        <f>AN39/AN42*10+BA39</f>
        <v>1.4285714285714284</v>
      </c>
      <c r="AP39" s="123">
        <f>AO39*10000000+BI39*100+AM39/AM42*10+AI39/AI42*1++IF(AQ39=0,ROW(),AQ39)/2000000</f>
        <v>14285714.786544498</v>
      </c>
      <c r="AQ39" s="126">
        <f>VLOOKUP(AE39,db_fifarank,2,FALSE)</f>
        <v>1660.43</v>
      </c>
      <c r="AR39" s="125">
        <f>AP39/AP42</f>
        <v>0.16666665452186696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2</v>
      </c>
      <c r="G40" s="20">
        <v>0</v>
      </c>
      <c r="H40" s="80" t="str">
        <f>AE33</f>
        <v>Curaçao</v>
      </c>
      <c r="J40" s="33" t="str">
        <f>VLOOKUP(2,AD38:AN41,2,FALSE)</f>
        <v>Tunisia</v>
      </c>
      <c r="K40" s="23">
        <f>L40+M40+N40</f>
        <v>2</v>
      </c>
      <c r="L40" s="23">
        <f>VLOOKUP(2,AD38:AN41,3,FALSE)</f>
        <v>0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2</v>
      </c>
      <c r="R40" s="123">
        <f>DATE(2026,6,20)+TIME(13,0,0)+gmt_delta</f>
        <v>46194</v>
      </c>
      <c r="S40" s="127" t="str">
        <f t="shared" si="1"/>
        <v>Ecuador_win</v>
      </c>
      <c r="T40" s="127" t="str">
        <f t="shared" si="2"/>
        <v>Curaçao_lose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1</v>
      </c>
      <c r="AD40" s="123">
        <f>COUNTIF(AR38:AR41,CONCATENATE("&gt;=",AR40))</f>
        <v>4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1</v>
      </c>
      <c r="AJ40" s="123">
        <f>SUMIF($E$7:$E$78,$AE40,$G$7:$G$78) + SUMIF($H$7:$H$78,$AE40,$F$7:$F$78)</f>
        <v>2</v>
      </c>
      <c r="AL40" s="123">
        <f>AI40-AJ40</f>
        <v>-1</v>
      </c>
      <c r="AM40" s="123">
        <f>AL40-AL42</f>
        <v>0</v>
      </c>
      <c r="AN40" s="123">
        <f>AF40*3+AG40</f>
        <v>1</v>
      </c>
      <c r="AO40" s="123">
        <f>AN40/AN42*10+BA40</f>
        <v>1.4285714285714284</v>
      </c>
      <c r="AP40" s="123">
        <f>AO40*10000000+BI40*100+AM40/AM42*10+AI40/AI42*1++IF(AQ40=0,ROW(),AQ40)/2000000</f>
        <v>14285714.536471669</v>
      </c>
      <c r="AQ40" s="126">
        <f>VLOOKUP(AE40,db_fifarank,2,FALSE)</f>
        <v>1514.77</v>
      </c>
      <c r="AR40" s="125">
        <f>AP40/AP42</f>
        <v>0.16666665160435096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1</v>
      </c>
      <c r="G41" s="20">
        <v>0</v>
      </c>
      <c r="H41" s="80" t="str">
        <f>AE40</f>
        <v>Sweden</v>
      </c>
      <c r="J41" s="33" t="str">
        <f>VLOOKUP(3,AD38:AN41,2,FALSE)</f>
        <v>Japan</v>
      </c>
      <c r="K41" s="23">
        <f>L41+M41+N41</f>
        <v>2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2 - 3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2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2</v>
      </c>
      <c r="AH41" s="123">
        <f>COUNTIF($S$7:$T$78,"=" &amp; AE41 &amp; "_lose")</f>
        <v>0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2</v>
      </c>
      <c r="AL41" s="123">
        <f>AI41-AJ41</f>
        <v>0</v>
      </c>
      <c r="AM41" s="123">
        <f>AL41-AL42</f>
        <v>1</v>
      </c>
      <c r="AN41" s="123">
        <f>AF41*3+AG41</f>
        <v>2</v>
      </c>
      <c r="AO41" s="123">
        <f>AN41/AN42*10+BA41</f>
        <v>2.8571428571428568</v>
      </c>
      <c r="AP41" s="123">
        <f>AO41*10000000+BI41*100+AM41/AM42*10+AI41/AI42*1++IF(AQ41=0,ROW(),AQ41)/2000000</f>
        <v>28571431.572170094</v>
      </c>
      <c r="AQ41" s="126">
        <f>VLOOKUP(AE41,db_fifarank,2,FALSE)</f>
        <v>1483.05</v>
      </c>
      <c r="AR41" s="125">
        <f>AP41/AP42</f>
        <v>0.33333333236634421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1</v>
      </c>
      <c r="G42" s="20">
        <v>1</v>
      </c>
      <c r="H42" s="80" t="str">
        <f>AE39</f>
        <v>Japan</v>
      </c>
      <c r="J42" s="35" t="str">
        <f>VLOOKUP(4,AD38:AN41,2,FALSE)</f>
        <v>Sweden</v>
      </c>
      <c r="K42" s="36">
        <f>L42+M42+N42</f>
        <v>2</v>
      </c>
      <c r="L42" s="36">
        <f>VLOOKUP(4,AD38:AN41,3,FALSE)</f>
        <v>0</v>
      </c>
      <c r="M42" s="36">
        <f>VLOOKUP(4,AD38:AN41,4,FALSE)</f>
        <v>1</v>
      </c>
      <c r="N42" s="36">
        <f>VLOOKUP(4,AD38:AN41,5,FALSE)</f>
        <v>1</v>
      </c>
      <c r="O42" s="36" t="str">
        <f>VLOOKUP(4,AD38:AN41,6,FALSE) &amp; " - " &amp; VLOOKUP(4,AD38:AN41,7,FALSE)</f>
        <v>1 - 2</v>
      </c>
      <c r="P42" s="37">
        <f>L42*3+M42</f>
        <v>1</v>
      </c>
      <c r="R42" s="123">
        <f>DATE(2026,6,20)+TIME(17,0,0)+gmt_delta</f>
        <v>46194.166666666672</v>
      </c>
      <c r="S42" s="127" t="str">
        <f t="shared" si="1"/>
        <v>Tunisia_draw</v>
      </c>
      <c r="T42" s="127" t="str">
        <f t="shared" si="2"/>
        <v>Japan_draw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0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2</v>
      </c>
      <c r="AI42" s="123">
        <f>MAX(AI38:AI41)+1</f>
        <v>4</v>
      </c>
      <c r="AL42" s="123">
        <f>MIN(AL38:AL41)</f>
        <v>-1</v>
      </c>
      <c r="AM42" s="123">
        <f>MAX(AM38:AM41)+1</f>
        <v>4</v>
      </c>
      <c r="AN42" s="123">
        <f>MAX(AN38:AN41)+1</f>
        <v>7</v>
      </c>
      <c r="AO42" s="123">
        <f>MAX(AO38:AO41)+1</f>
        <v>9.5714285714285712</v>
      </c>
      <c r="AP42" s="123">
        <f>MAX(AP38:AP41)+1</f>
        <v>85714294.965164647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0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Uruguay_win</v>
      </c>
      <c r="T43" s="127" t="str">
        <f t="shared" si="2"/>
        <v>Cape Verde_lose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1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2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2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4</v>
      </c>
      <c r="AJ44" s="123">
        <f>SUMIF($E$7:$E$78,$AE44,$G$7:$G$78) + SUMIF($H$7:$H$78,$AE44,$F$7:$F$78)</f>
        <v>1</v>
      </c>
      <c r="AL44" s="123">
        <f>AI44-AJ44</f>
        <v>3</v>
      </c>
      <c r="AM44" s="123">
        <f>AL44-AL48</f>
        <v>4</v>
      </c>
      <c r="AN44" s="123">
        <f>AF44*3+AG44</f>
        <v>6</v>
      </c>
      <c r="AO44" s="123">
        <f>AN44/AN48*10+BA44</f>
        <v>8.5714285714285712</v>
      </c>
      <c r="AP44" s="123">
        <f>AO44*10000000+BI44*100+AM44/AM48*10+AI44/AI48*1++IF(AQ44=0,ROW(),AQ44)/2000000</f>
        <v>85714294.515153065</v>
      </c>
      <c r="AQ44" s="126">
        <f>VLOOKUP(AE44,db_fifarank,2,FALSE)</f>
        <v>1734.71</v>
      </c>
      <c r="AR44" s="125">
        <f>AP44/AP48</f>
        <v>0.9999999883333347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1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2</v>
      </c>
      <c r="L45" s="31">
        <f>VLOOKUP(1,AD44:AN47,3,FALSE)</f>
        <v>2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4 - 1</v>
      </c>
      <c r="P45" s="32">
        <f>L45*3+M45</f>
        <v>6</v>
      </c>
      <c r="R45" s="123">
        <f>DATE(2026,6,21)+TIME(8,0,0)+gmt_delta</f>
        <v>46194.791666666672</v>
      </c>
      <c r="S45" s="127" t="str">
        <f t="shared" si="1"/>
        <v>Belgium_win</v>
      </c>
      <c r="T45" s="127" t="str">
        <f t="shared" si="2"/>
        <v>Iran_lose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1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0</v>
      </c>
      <c r="AH45" s="123">
        <f>COUNTIF($S$7:$T$78,"=" &amp; AE45 &amp; "_lose")</f>
        <v>1</v>
      </c>
      <c r="AI45" s="123">
        <f>SUMIF($E$7:$E$78,$AE45,$F$7:$F$78) + SUMIF($H$7:$H$78,$AE45,$G$7:$G$78)</f>
        <v>2</v>
      </c>
      <c r="AJ45" s="123">
        <f>SUMIF($E$7:$E$78,$AE45,$G$7:$G$78) + SUMIF($H$7:$H$78,$AE45,$F$7:$F$78)</f>
        <v>3</v>
      </c>
      <c r="AL45" s="123">
        <f>AI45-AJ45</f>
        <v>-1</v>
      </c>
      <c r="AM45" s="123">
        <f>AL45-AL48</f>
        <v>0</v>
      </c>
      <c r="AN45" s="123">
        <f>AF45*3+AG45</f>
        <v>3</v>
      </c>
      <c r="AO45" s="123">
        <f>AN45/AN48*10+BA45</f>
        <v>4.2857142857142856</v>
      </c>
      <c r="AP45" s="123">
        <f>AO45*10000000+BI45*100+AM45/AM48*10+AI45/AI48*1++IF(AQ45=0,ROW(),AQ45)/2000000</f>
        <v>42857143.257924475</v>
      </c>
      <c r="AQ45" s="126">
        <f>VLOOKUP(AE45,db_fifarank,2,FALSE)</f>
        <v>1563.24</v>
      </c>
      <c r="AR45" s="125">
        <f>AP45/AP48</f>
        <v>0.49999994750406535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0</v>
      </c>
      <c r="G46" s="20">
        <v>1</v>
      </c>
      <c r="H46" s="80" t="str">
        <f>AE45</f>
        <v>Egypt</v>
      </c>
      <c r="J46" s="33" t="str">
        <f>VLOOKUP(2,AD44:AN47,2,FALSE)</f>
        <v>Egypt</v>
      </c>
      <c r="K46" s="23">
        <f>L46+M46+N46</f>
        <v>2</v>
      </c>
      <c r="L46" s="23">
        <f>VLOOKUP(2,AD44:AN47,3,FALSE)</f>
        <v>1</v>
      </c>
      <c r="M46" s="23">
        <f>VLOOKUP(2,AD44:AN47,4,FALSE)</f>
        <v>0</v>
      </c>
      <c r="N46" s="23">
        <f>VLOOKUP(2,AD44:AN47,5,FALSE)</f>
        <v>1</v>
      </c>
      <c r="O46" s="23" t="str">
        <f>VLOOKUP(2,AD44:AN47,6,FALSE) &amp; " - " &amp; VLOOKUP(2,AD44:AN47,7,FALSE)</f>
        <v>2 - 3</v>
      </c>
      <c r="P46" s="34">
        <f>L46*3+M46</f>
        <v>3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1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1</v>
      </c>
      <c r="AL46" s="123">
        <f>AI46-AJ46</f>
        <v>-1</v>
      </c>
      <c r="AM46" s="123">
        <f>AL46-AL48</f>
        <v>0</v>
      </c>
      <c r="AN46" s="123">
        <f>AF46*3+AG46</f>
        <v>1</v>
      </c>
      <c r="AO46" s="123">
        <f>AN46/AN48*10+BA46</f>
        <v>2.4089635854341735</v>
      </c>
      <c r="AP46" s="123">
        <f>AO46*10000000+BI46*100+AM46/AM48*10+AI46/AI48*1++IF(AQ46=0,ROW(),AQ46)/2000000</f>
        <v>24089733.894365072</v>
      </c>
      <c r="AQ46" s="126">
        <f>VLOOKUP(AE46,db_fifarank,2,FALSE)</f>
        <v>1615.3</v>
      </c>
      <c r="AR46" s="125">
        <f>AP46/AP48</f>
        <v>0.28104686329839051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1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2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1</v>
      </c>
      <c r="O47" s="23" t="str">
        <f>VLOOKUP(3,AD44:AN47,6,FALSE) &amp; " - " &amp; VLOOKUP(3,AD44:AN47,7,FALSE)</f>
        <v>0 - 1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Norway_lose</v>
      </c>
      <c r="T47" s="127" t="str">
        <f t="shared" ref="T47:T78" si="20">IF(S47="","",IF(F47&lt;G47,H47&amp;"_win",IF(F47&gt;G47,H47&amp;"_lose",H47&amp;"_draw")))</f>
        <v>Senegal_win</v>
      </c>
      <c r="U47" s="123">
        <f t="shared" si="8"/>
        <v>1</v>
      </c>
      <c r="V47" s="123">
        <f t="shared" ref="V47:V78" si="21">U47*F47</f>
        <v>1</v>
      </c>
      <c r="W47" s="123">
        <f t="shared" ref="W47:W78" si="22">U47*G47</f>
        <v>2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-1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1</v>
      </c>
      <c r="AL47" s="123">
        <f>AI47-AJ47</f>
        <v>-1</v>
      </c>
      <c r="AM47" s="123">
        <f>AL47-AL48</f>
        <v>0</v>
      </c>
      <c r="AN47" s="123">
        <f>AF47*3+AG47</f>
        <v>1</v>
      </c>
      <c r="AO47" s="123">
        <f>AN47/AN48*10+BA47</f>
        <v>2.4089635854341735</v>
      </c>
      <c r="AP47" s="123">
        <f>AO47*10000000+BI47*100+AM47/AM48*10+AI47/AI48*1++IF(AQ47=0,ROW(),AQ47)/2000000</f>
        <v>24089733.894198205</v>
      </c>
      <c r="AQ47" s="126">
        <f>VLOOKUP(AE47,db_fifarank,2,FALSE)</f>
        <v>1281.57</v>
      </c>
      <c r="AR47" s="125">
        <f>AP47/AP48</f>
        <v>0.28104686329644374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50</v>
      </c>
      <c r="BA47" s="126">
        <f>AZ47/AZ48</f>
        <v>0.98039215686274506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50</v>
      </c>
      <c r="BI47" s="126">
        <f>BH47/BH48</f>
        <v>0.98039215686274506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0 - 1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3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-1</v>
      </c>
      <c r="AM48" s="123">
        <f>MAX(AM44:AM47)+1</f>
        <v>5</v>
      </c>
      <c r="AN48" s="123">
        <f>MAX(AN44:AN47)+1</f>
        <v>7</v>
      </c>
      <c r="AO48" s="123">
        <f>MAX(AO44:AO47)+1</f>
        <v>9.5714285714285712</v>
      </c>
      <c r="AP48" s="123">
        <f>MAX(AP44:AP47)+1</f>
        <v>85714295.515153065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0</v>
      </c>
      <c r="G50" s="20">
        <v>1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7</v>
      </c>
      <c r="AJ50" s="123">
        <f>SUMIF($E$7:$E$78,$AE50,$G$7:$G$78) + SUMIF($H$7:$H$78,$AE50,$F$7:$F$78)</f>
        <v>0</v>
      </c>
      <c r="AL50" s="123">
        <f>AI50-AJ50</f>
        <v>7</v>
      </c>
      <c r="AM50" s="123">
        <f>AL50-AL54</f>
        <v>14</v>
      </c>
      <c r="AN50" s="123">
        <f>AF50*3+AG50</f>
        <v>6</v>
      </c>
      <c r="AO50" s="123">
        <f>AN50/AN54*10+BA50</f>
        <v>8.5714285714285712</v>
      </c>
      <c r="AP50" s="123">
        <f>AO50*10000000+BI50*100+AM50/AM54*10+AI50/AI54*1++IF(AQ50=0,ROW(),AQ50)/2000000</f>
        <v>85714295.923557252</v>
      </c>
      <c r="AQ50" s="126">
        <f>VLOOKUP(AE50,db_fifarank,2,FALSE)</f>
        <v>1876.4</v>
      </c>
      <c r="AR50" s="125">
        <f>AP50/AP54</f>
        <v>0.99999998833333481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1</v>
      </c>
      <c r="G51" s="20">
        <v>1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2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7 - 0</v>
      </c>
      <c r="P51" s="32">
        <f>L51*3+M51</f>
        <v>6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1</v>
      </c>
      <c r="W51" s="123">
        <f t="shared" si="22"/>
        <v>1</v>
      </c>
      <c r="X51" s="123">
        <f t="shared" si="9"/>
        <v>1</v>
      </c>
      <c r="Y51" s="123">
        <f t="shared" si="10"/>
        <v>1</v>
      </c>
      <c r="Z51" s="123">
        <f t="shared" si="11"/>
        <v>1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2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7</v>
      </c>
      <c r="AL51" s="123">
        <f>AI51-AJ51</f>
        <v>-7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7.9690906245101591E-12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2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2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3 - 0</v>
      </c>
      <c r="P52" s="34">
        <f>L52*3+M52</f>
        <v>6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2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3</v>
      </c>
      <c r="AL52" s="123">
        <f>AI52-AJ52</f>
        <v>-3</v>
      </c>
      <c r="AM52" s="123">
        <f>AL52-AL54</f>
        <v>4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2.6673773816666664</v>
      </c>
      <c r="AQ52" s="126">
        <f>VLOOKUP(AE52,db_fifarank,2,FALSE)</f>
        <v>1421.43</v>
      </c>
      <c r="AR52" s="125">
        <f>AP52/AP54</f>
        <v>3.1119398716476891E-8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4</v>
      </c>
      <c r="G53" s="20">
        <v>0</v>
      </c>
      <c r="H53" s="80" t="str">
        <f>AE70</f>
        <v>Uzbekistan</v>
      </c>
      <c r="J53" s="33" t="str">
        <f>VLOOKUP(3,AD50:AN53,2,FALSE)</f>
        <v>Saudi Arabia</v>
      </c>
      <c r="K53" s="23">
        <f>L53+M53+N53</f>
        <v>2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2</v>
      </c>
      <c r="O53" s="23" t="str">
        <f>VLOOKUP(3,AD50:AN53,6,FALSE) &amp; " - " &amp; VLOOKUP(3,AD50:AN53,7,FALSE)</f>
        <v>0 - 3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2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0</v>
      </c>
      <c r="AL53" s="123">
        <f>AI53-AJ53</f>
        <v>3</v>
      </c>
      <c r="AM53" s="123">
        <f>AL53-AL54</f>
        <v>10</v>
      </c>
      <c r="AN53" s="123">
        <f>AF53*3+AG53</f>
        <v>6</v>
      </c>
      <c r="AO53" s="123">
        <f>AN53/AN54*10+BA53</f>
        <v>8.5714285714285712</v>
      </c>
      <c r="AP53" s="123">
        <f>AO53*10000000+BI53*100+AM53/AM54*10+AI53/AI54*1++IF(AQ53=0,ROW(),AQ53)/2000000</f>
        <v>85714292.756788924</v>
      </c>
      <c r="AQ53" s="126">
        <f>VLOOKUP(AE53,db_fifarank,2,FALSE)</f>
        <v>1673.07</v>
      </c>
      <c r="AR53" s="125">
        <f>AP53/AP54</f>
        <v>0.99999995138770925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2</v>
      </c>
      <c r="G54" s="20">
        <v>0</v>
      </c>
      <c r="H54" s="80" t="str">
        <f>AE69</f>
        <v>DR Congo</v>
      </c>
      <c r="J54" s="35" t="str">
        <f>VLOOKUP(4,AD50:AN53,2,FALSE)</f>
        <v>Cape Verde</v>
      </c>
      <c r="K54" s="36">
        <f>L54+M54+N54</f>
        <v>2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2</v>
      </c>
      <c r="O54" s="36" t="str">
        <f>VLOOKUP(4,AD50:AN53,6,FALSE) &amp; " - " &amp; VLOOKUP(4,AD50:AN53,7,FALSE)</f>
        <v>0 - 7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1</v>
      </c>
      <c r="AH54" s="123">
        <f t="shared" si="25"/>
        <v>3</v>
      </c>
      <c r="AI54" s="123">
        <f>MAX(AI50:AI53)+1</f>
        <v>8</v>
      </c>
      <c r="AL54" s="123">
        <f>MIN(AL50:AL53)</f>
        <v>-7</v>
      </c>
      <c r="AM54" s="123">
        <f>MAX(AM50:AM53)+1</f>
        <v>15</v>
      </c>
      <c r="AN54" s="123">
        <f>MAX(AN50:AN53)+1</f>
        <v>7</v>
      </c>
      <c r="AO54" s="123">
        <f>MAX(AO50:AO53)+1</f>
        <v>9.5714285714285712</v>
      </c>
      <c r="AP54" s="123">
        <f>MAX(AP50:AP53)+1</f>
        <v>85714296.923557252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1</v>
      </c>
      <c r="G55" s="20">
        <v>2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2</v>
      </c>
      <c r="G56" s="20">
        <v>0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2</v>
      </c>
      <c r="AL56" s="123">
        <f>AI56-AJ56</f>
        <v>4</v>
      </c>
      <c r="AM56" s="123">
        <f>AL56-AL60</f>
        <v>9</v>
      </c>
      <c r="AN56" s="123">
        <f>AF56*3+AG56</f>
        <v>6</v>
      </c>
      <c r="AO56" s="123">
        <f>AN56/AN60*10+BA56</f>
        <v>8.5779859484777514</v>
      </c>
      <c r="AP56" s="123">
        <f>AO56*10000000+BI56*100+AM56/AM60*10+AI56/AI60*1++IF(AQ56=0,ROW(),AQ56)/2000000</f>
        <v>85779869.342859015</v>
      </c>
      <c r="AQ56" s="126">
        <f>VLOOKUP(AE56,db_fifarank,2,FALSE)</f>
        <v>1877.32</v>
      </c>
      <c r="AR56" s="125">
        <f>AP56/AP60</f>
        <v>0.99999998834225334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1</v>
      </c>
      <c r="AZ56" s="126">
        <f>AT56/AT60*1000+AU56/AU60*100+AY56/AY60*10+AV56/AV60</f>
        <v>3.333333333333333</v>
      </c>
      <c r="BA56" s="126">
        <f>AZ56/AZ60</f>
        <v>6.557377049180327E-3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1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6 - 2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>Switzerland_draw</v>
      </c>
      <c r="T57" s="127" t="str">
        <f t="shared" si="20"/>
        <v>Canada_draw</v>
      </c>
      <c r="U57" s="123">
        <f t="shared" si="8"/>
        <v>1</v>
      </c>
      <c r="V57" s="123">
        <f t="shared" si="21"/>
        <v>1</v>
      </c>
      <c r="W57" s="123">
        <f t="shared" si="22"/>
        <v>1</v>
      </c>
      <c r="X57" s="123">
        <f t="shared" si="9"/>
        <v>1</v>
      </c>
      <c r="Y57" s="123">
        <f t="shared" si="10"/>
        <v>1</v>
      </c>
      <c r="Z57" s="123">
        <f t="shared" si="11"/>
        <v>1</v>
      </c>
      <c r="AA57" s="123">
        <f t="shared" si="17"/>
        <v>0</v>
      </c>
      <c r="AB57" s="123">
        <f t="shared" si="23"/>
        <v>0</v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4</v>
      </c>
      <c r="AJ57" s="123">
        <f>SUMIF($E$7:$E$78,$AE57,$G$7:$G$78) + SUMIF($H$7:$H$78,$AE57,$F$7:$F$78)</f>
        <v>4</v>
      </c>
      <c r="AL57" s="123">
        <f>AI57-AJ57</f>
        <v>0</v>
      </c>
      <c r="AM57" s="123">
        <f>AL57-AL60</f>
        <v>5</v>
      </c>
      <c r="AN57" s="123">
        <f>AF57*3+AG57</f>
        <v>3</v>
      </c>
      <c r="AO57" s="123">
        <f>AN57/AN60*10+BA57</f>
        <v>5.2837470725995317</v>
      </c>
      <c r="AP57" s="123">
        <f>AO57*10000000+BI57*100+AM57/AM60*10+AI57/AI60*1++IF(AQ57=0,ROW(),AQ57)/2000000</f>
        <v>52837476.298268385</v>
      </c>
      <c r="AQ57" s="126">
        <f>VLOOKUP(AE57,db_fifarank,2,FALSE)</f>
        <v>1688.99</v>
      </c>
      <c r="AR57" s="125">
        <f>AP57/AP60</f>
        <v>0.61596591469629081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1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2</v>
      </c>
      <c r="AW57" s="126" cm="1">
        <f t="array" ref="AW57">SUMPRODUCT(($E$7:$E$78=AE57)*($U$7:$U$78)*($G$7:$G$78))+SUMPRODUCT(($H$7:$H$78=AE57)*($U$7:$U$78)*($F$7:$F$78))</f>
        <v>1</v>
      </c>
      <c r="AX57" s="126">
        <f>AV57-AW57</f>
        <v>1</v>
      </c>
      <c r="AY57" s="126">
        <f>AX57-MIN(AX56:AX59)</f>
        <v>2</v>
      </c>
      <c r="AZ57" s="126">
        <f>AT57/AT60*1000+AU57/AU60*100+AY57/AY60*10+AV57/AV60</f>
        <v>507.33333333333337</v>
      </c>
      <c r="BA57" s="126">
        <f>AZ57/AZ60</f>
        <v>0.99803278688524588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1</v>
      </c>
      <c r="G58" s="20">
        <v>0</v>
      </c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2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4 - 4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6</v>
      </c>
      <c r="AL58" s="123">
        <f>AI58-AJ58</f>
        <v>-5</v>
      </c>
      <c r="AM58" s="123">
        <f>AL58-AL60</f>
        <v>0</v>
      </c>
      <c r="AN58" s="123">
        <f>AF58*3+AG58</f>
        <v>0</v>
      </c>
      <c r="AO58" s="123">
        <f>AN58/AN60*10+BA58</f>
        <v>6.557377049180327E-3</v>
      </c>
      <c r="AP58" s="123">
        <f>AO58*10000000+BI58*100+AM58/AM60*10+AI58/AI60*1++IF(AQ58=0,ROW(),AQ58)/2000000</f>
        <v>65573.914072516127</v>
      </c>
      <c r="AQ58" s="126">
        <f>VLOOKUP(AE58,db_fifarank,2,FALSE)</f>
        <v>1447.14</v>
      </c>
      <c r="AR58" s="125">
        <f>AP58/AP60</f>
        <v>7.6444408006703186E-4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1</v>
      </c>
      <c r="AZ58" s="126">
        <f>AT58/AT60*1000+AU58/AU60*100+AY58/AY60*10+AV58/AV60</f>
        <v>3.333333333333333</v>
      </c>
      <c r="BA58" s="126">
        <f>AZ58/AZ60</f>
        <v>6.557377049180327E-3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1</v>
      </c>
      <c r="G59" s="20">
        <v>2</v>
      </c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2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4 - 3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3</v>
      </c>
      <c r="AL59" s="123">
        <f>AI59-AJ59</f>
        <v>1</v>
      </c>
      <c r="AM59" s="123">
        <f>AL59-AL60</f>
        <v>6</v>
      </c>
      <c r="AN59" s="123">
        <f>AF59*3+AG59</f>
        <v>3</v>
      </c>
      <c r="AO59" s="123">
        <f>AN59/AN60*10+BA59</f>
        <v>4.2863700234192033</v>
      </c>
      <c r="AP59" s="123">
        <f>AO59*10000000+BI59*100+AM59/AM60*10+AI59/AI60*1++IF(AQ59=0,ROW(),AQ59)/2000000</f>
        <v>42863706.806396082</v>
      </c>
      <c r="AQ59" s="126">
        <f>VLOOKUP(AE59,db_fifarank,2,FALSE)</f>
        <v>1550.94</v>
      </c>
      <c r="AR59" s="125">
        <f>AP59/AP60</f>
        <v>0.49969423636421234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1</v>
      </c>
      <c r="AW59" s="126" cm="1">
        <f t="array" ref="AW59">SUMPRODUCT(($E$7:$E$78=AE59)*($U$7:$U$78)*($G$7:$G$78))+SUMPRODUCT(($H$7:$H$78=AE59)*($U$7:$U$78)*($F$7:$F$78))</f>
        <v>2</v>
      </c>
      <c r="AX59" s="126">
        <f>AV59-AW59</f>
        <v>-1</v>
      </c>
      <c r="AY59" s="126">
        <f>AX59-MIN(AX56:AX59)</f>
        <v>0</v>
      </c>
      <c r="AZ59" s="126">
        <f>AT59/AT60*1000+AU59/AU60*100+AY59/AY60*10+AV59/AV60</f>
        <v>0.33333333333333331</v>
      </c>
      <c r="BA59" s="126">
        <f>AZ59/AZ60</f>
        <v>6.5573770491803268E-4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1 - 6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7</v>
      </c>
      <c r="AL60" s="123">
        <f>MIN(AL56:AL59)</f>
        <v>-5</v>
      </c>
      <c r="AM60" s="123">
        <f>MAX(AM56:AM59)+1</f>
        <v>10</v>
      </c>
      <c r="AN60" s="123">
        <f>MAX(AN56:AN59)+1</f>
        <v>7</v>
      </c>
      <c r="AO60" s="123">
        <f>MAX(AO56:AO59)+1</f>
        <v>9.5779859484777514</v>
      </c>
      <c r="AP60" s="123">
        <f>MAX(AP56:AP59)+1</f>
        <v>85779870.342859015</v>
      </c>
      <c r="AT60" s="126">
        <f>MAX(AT56:AT59)-MIN(AT56:AT59)+1</f>
        <v>2</v>
      </c>
      <c r="AU60" s="126">
        <f>MAX(AU56:AU59)-MIN(AU56:AU59)+1</f>
        <v>1</v>
      </c>
      <c r="AV60" s="126">
        <f>MAX(AV56:AV59)-MIN(AV56:AV59)+1</f>
        <v>3</v>
      </c>
      <c r="AW60" s="126">
        <f>MAX(AW56:AW59)-MIN(AW56:AW59)+1</f>
        <v>3</v>
      </c>
      <c r="AY60" s="126">
        <f>MAX(AY56:AY59)-MIN(AY56:AY59)+1</f>
        <v>3</v>
      </c>
      <c r="AZ60" s="126">
        <f>MAX(AZ56:AZ59)+1</f>
        <v>508.33333333333337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1</v>
      </c>
      <c r="AL62" s="123">
        <f>AI62-AJ62</f>
        <v>4</v>
      </c>
      <c r="AM62" s="123">
        <f>AL62-AL66</f>
        <v>6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85714295.119985029</v>
      </c>
      <c r="AQ62" s="126">
        <f>VLOOKUP(AE62,db_fifarank,2,FALSE)</f>
        <v>1874.82</v>
      </c>
      <c r="AR62" s="125">
        <f>AP62/AP66</f>
        <v>0.9999999883333347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5 - 1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2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3</v>
      </c>
      <c r="AL63" s="123">
        <f>AI63-AJ63</f>
        <v>-1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42857144.619829752</v>
      </c>
      <c r="AQ63" s="126">
        <f>VLOOKUP(AE63,db_fifarank,2,FALSE)</f>
        <v>1564.26</v>
      </c>
      <c r="AR63" s="125">
        <f>AP63/AP66</f>
        <v>0.49999995986477264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Algeria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2 - 3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3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1</v>
      </c>
      <c r="AJ64" s="123">
        <f>SUMIF($E$7:$E$78,$AE64,$G$7:$G$78) + SUMIF($H$7:$H$78,$AE64,$F$7:$F$78)</f>
        <v>2</v>
      </c>
      <c r="AL64" s="123">
        <f>AI64-AJ64</f>
        <v>-1</v>
      </c>
      <c r="AM64" s="123">
        <f>AL64-AL66</f>
        <v>1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42857144.453177676</v>
      </c>
      <c r="AQ64" s="126">
        <f>VLOOKUP(AE64,db_fifarank,2,FALSE)</f>
        <v>1593.45</v>
      </c>
      <c r="AR64" s="125">
        <f>AP64/AP66</f>
        <v>0.49999995792049867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Austria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1 - 2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2</v>
      </c>
      <c r="AL65" s="123">
        <f>AI65-AJ65</f>
        <v>-2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8.1167906812896954E-12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0 - 2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-2</v>
      </c>
      <c r="AM66" s="123">
        <f>MAX(AM62:AM65)+1</f>
        <v>7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85714296.119985029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2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7</v>
      </c>
      <c r="AJ68" s="123">
        <f>SUMIF($E$7:$E$78,$AE68,$G$7:$G$78) + SUMIF($H$7:$H$78,$AE68,$F$7:$F$78)</f>
        <v>0</v>
      </c>
      <c r="AL68" s="123">
        <f>AI68-AJ68</f>
        <v>7</v>
      </c>
      <c r="AM68" s="123">
        <f>AL68-AL72</f>
        <v>13</v>
      </c>
      <c r="AN68" s="123">
        <f>AF68*3+AG68</f>
        <v>6</v>
      </c>
      <c r="AO68" s="123">
        <f>AN68/AN72*10+BA68</f>
        <v>8.5714285714285712</v>
      </c>
      <c r="AP68" s="123">
        <f>AO68*10000000+BI68*100+AM68/AM72*10+AI68/AI72*1++IF(AQ68=0,ROW(),AQ68)/2000000</f>
        <v>85714295.87588191</v>
      </c>
      <c r="AQ68" s="126">
        <f>VLOOKUP(AE68,db_fifarank,2,FALSE)</f>
        <v>1763.83</v>
      </c>
      <c r="AR68" s="125">
        <f>AP68/AP72</f>
        <v>0.99999998833333481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7 - 0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2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5</v>
      </c>
      <c r="AL69" s="123">
        <f>AI69-AJ69</f>
        <v>-5</v>
      </c>
      <c r="AM69" s="123">
        <f>AL69-AL72</f>
        <v>1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0.71502488928571417</v>
      </c>
      <c r="AQ69" s="126">
        <f>VLOOKUP(AE69,db_fifarank,2,FALSE)</f>
        <v>1478.35</v>
      </c>
      <c r="AR69" s="125">
        <f>AP69/AP72</f>
        <v>8.3419559553886544E-9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2</v>
      </c>
      <c r="L70" s="23">
        <f>VLOOKUP(2,AD68:AN71,3,FALSE)</f>
        <v>2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4 - 0</v>
      </c>
      <c r="P70" s="34">
        <f>L70*3+M70</f>
        <v>6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6</v>
      </c>
      <c r="AL70" s="123">
        <f>AI70-AJ70</f>
        <v>-6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8.5478155535819018E-12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2</v>
      </c>
      <c r="O71" s="23" t="str">
        <f>VLOOKUP(3,AD68:AN71,6,FALSE) &amp; " - " &amp; VLOOKUP(3,AD68:AN71,7,FALSE)</f>
        <v>0 - 5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0</v>
      </c>
      <c r="AL71" s="123">
        <f>AI71-AJ71</f>
        <v>4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85714293.357989416</v>
      </c>
      <c r="AQ71" s="126">
        <f>VLOOKUP(AE71,db_fifarank,2,FALSE)</f>
        <v>1693.09</v>
      </c>
      <c r="AR71" s="125">
        <f>AP71/AP72</f>
        <v>0.99999995895792626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0 - 6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1</v>
      </c>
      <c r="AH72" s="123">
        <f t="shared" si="35"/>
        <v>3</v>
      </c>
      <c r="AI72" s="123">
        <f>MAX(AI68:AI71)+1</f>
        <v>8</v>
      </c>
      <c r="AL72" s="123">
        <f>MIN(AL68:AL71)</f>
        <v>-6</v>
      </c>
      <c r="AM72" s="123">
        <f>MAX(AM68:AM71)+1</f>
        <v>14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85714296.87588191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3</v>
      </c>
      <c r="AJ74" s="123">
        <f>SUMIF($E$7:$E$78,$AE74,$G$7:$G$78) + SUMIF($H$7:$H$78,$AE74,$F$7:$F$78)</f>
        <v>2</v>
      </c>
      <c r="AL74" s="123">
        <f>AI74-AJ74</f>
        <v>1</v>
      </c>
      <c r="AM74" s="123">
        <f>AL74-AL78</f>
        <v>4</v>
      </c>
      <c r="AN74" s="123">
        <f>AF74*3+AG74</f>
        <v>4</v>
      </c>
      <c r="AO74" s="123">
        <f>AN74/AN78*10+BA74</f>
        <v>8.9805825242718456</v>
      </c>
      <c r="AP74" s="123">
        <f>AO74*10000000+BI74*100+AM74/AM78*10+AI74/AI78*1++IF(AQ74=0,ROW(),AQ74)/2000000</f>
        <v>89805932.051883861</v>
      </c>
      <c r="AQ74" s="126">
        <f>VLOOKUP(AE74,db_fifarank,2,FALSE)</f>
        <v>1825.97</v>
      </c>
      <c r="AR74" s="125">
        <f>AP74/AP78</f>
        <v>0.99999998886487829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1</v>
      </c>
      <c r="AW74" s="126" cm="1">
        <f t="array" ref="AW74">SUMPRODUCT(($E$7:$E$78=AE74)*($U$7:$U$78)*($G$7:$G$78))+SUMPRODUCT(($H$7:$H$78=AE74)*($U$7:$U$78)*($F$7:$F$78))</f>
        <v>1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50.5</v>
      </c>
      <c r="BA74" s="126">
        <f>AZ74/AZ78</f>
        <v>0.98058252427184467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1</v>
      </c>
      <c r="BE74" s="126" cm="1">
        <f t="array" ref="BE74">SUMPRODUCT(($E$7:$E$78=AE74)*($X$7:$X$78)*($G$7:$G$78))+SUMPRODUCT(($H$7:$H$78=AE74)*($X$7:$X$78)*($F$7:$F$78))</f>
        <v>1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50.5</v>
      </c>
      <c r="BI74" s="126">
        <f>BH74/BH78</f>
        <v>0.98058252427184467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3 - 2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2</v>
      </c>
      <c r="AL75" s="123">
        <f>AI75-AJ75</f>
        <v>1</v>
      </c>
      <c r="AM75" s="123">
        <f>AL75-AL78</f>
        <v>4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60000008.750858538</v>
      </c>
      <c r="AQ75" s="126">
        <f>VLOOKUP(AE75,db_fifarank,2,FALSE)</f>
        <v>1717.07</v>
      </c>
      <c r="AR75" s="125">
        <f>AP75/AP78</f>
        <v>0.6681074035074559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2 - 1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1</v>
      </c>
      <c r="AL76" s="123">
        <f>AI76-AJ76</f>
        <v>1</v>
      </c>
      <c r="AM76" s="123">
        <f>AL76-AL78</f>
        <v>4</v>
      </c>
      <c r="AN76" s="123">
        <f>AF76*3+AG76</f>
        <v>4</v>
      </c>
      <c r="AO76" s="123">
        <f>AN76/AN78*10+BA76</f>
        <v>8.9805825242718456</v>
      </c>
      <c r="AP76" s="123">
        <f>AO76*10000000+BI76*100+AM76/AM78*10+AI76/AI78*1++IF(AQ76=0,ROW(),AQ76)/2000000</f>
        <v>89805931.801644042</v>
      </c>
      <c r="AQ76" s="126">
        <f>VLOOKUP(AE76,db_fifarank,2,FALSE)</f>
        <v>1346.31</v>
      </c>
      <c r="AR76" s="125">
        <f>AP76/AP78</f>
        <v>0.99999998607842733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1</v>
      </c>
      <c r="AW76" s="126" cm="1">
        <f t="array" ref="AW76">SUMPRODUCT(($E$7:$E$78=AE76)*($U$7:$U$78)*($G$7:$G$78))+SUMPRODUCT(($H$7:$H$78=AE76)*($U$7:$U$78)*($F$7:$F$78))</f>
        <v>1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50.5</v>
      </c>
      <c r="BA76" s="126">
        <f>AZ76/AZ78</f>
        <v>0.98058252427184467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1</v>
      </c>
      <c r="BE76" s="126" cm="1">
        <f t="array" ref="BE76">SUMPRODUCT(($E$7:$E$78=AE76)*($X$7:$X$78)*($G$7:$G$78))+SUMPRODUCT(($H$7:$H$78=AE76)*($X$7:$X$78)*($F$7:$F$78))</f>
        <v>1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50.5</v>
      </c>
      <c r="BI76" s="126">
        <f>BH76/BH78</f>
        <v>0.98058252427184467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3 - 2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3</v>
      </c>
      <c r="AL77" s="123">
        <f>AI77-AJ77</f>
        <v>-3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8.5776070001406329E-12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0 - 3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4</v>
      </c>
      <c r="AL78" s="123">
        <f>MIN(AL74:AL77)</f>
        <v>-3</v>
      </c>
      <c r="AM78" s="123">
        <f>MAX(AM74:AM77)+1</f>
        <v>5</v>
      </c>
      <c r="AN78" s="123">
        <f>MAX(AN74:AN77)+1</f>
        <v>5</v>
      </c>
      <c r="AO78" s="123">
        <f>MAX(AO74:AO77)+1</f>
        <v>9.9805825242718456</v>
      </c>
      <c r="AP78" s="123">
        <f>MAX(AP74:AP77)+1</f>
        <v>89805933.051883861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2</v>
      </c>
      <c r="AW78" s="126">
        <f>MAX(AW74:AW77)-MIN(AW74:AW77)+1</f>
        <v>2</v>
      </c>
      <c r="AY78" s="126">
        <f>MAX(AY74:AY77)-MIN(AY74:AY77)+1</f>
        <v>1</v>
      </c>
      <c r="AZ78" s="126">
        <f>MAX(AZ74:AZ77)+1</f>
        <v>51.5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2</v>
      </c>
      <c r="BE78" s="126">
        <f>MAX(BE74:BE77)-MIN(BE74:BE77)+1</f>
        <v>2</v>
      </c>
      <c r="BG78" s="126">
        <f>MAX(BG74:BG77)-MIN(BG74:BG77)+1</f>
        <v>1</v>
      </c>
      <c r="BH78" s="126">
        <f>MAX(BH74:BH77)+1</f>
        <v>51.5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9</v>
      </c>
      <c r="AE80" s="124" t="str">
        <f>J11</f>
        <v>Korea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3</v>
      </c>
      <c r="AJ80" s="123">
        <f>VLOOKUP($AE80,$AE$8:$AQ$78,6,FALSE)</f>
        <v>5</v>
      </c>
      <c r="AK80" s="123" t="s">
        <v>3180</v>
      </c>
      <c r="AL80" s="123">
        <f>VLOOKUP($AE80,$AE$8:$AQ$78,8,FALSE)</f>
        <v>-2</v>
      </c>
      <c r="AM80" s="123">
        <f>AL80-$AL$92</f>
        <v>3</v>
      </c>
      <c r="AN80" s="123">
        <f>VLOOKUP($AE80,$AE$8:$AQ$78,10,FALSE)</f>
        <v>0</v>
      </c>
      <c r="AP80" s="123">
        <f>AN80/AN92*10000+AM80/AM92*1000+AI80/AI92*100+IF(AQ80=0,ROW(),AQ80)/2000000</f>
        <v>488.57222290142857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Bosnia and Herzegovina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2</v>
      </c>
      <c r="N81" s="97">
        <f>VLOOKUP(1,$AD$80:$AN$91,5,FALSE)</f>
        <v>0</v>
      </c>
      <c r="O81" s="97" t="str">
        <f>VLOOKUP(1,$AD$80:$AN$91,6,FALSE) &amp; " - " &amp; VLOOKUP(1,$AD$80:$AN$91,7,FALSE)</f>
        <v>3 - 2</v>
      </c>
      <c r="P81" s="98">
        <f>L81*3+M81</f>
        <v>5</v>
      </c>
      <c r="AD81" s="123">
        <f t="shared" ref="AD81:AD91" si="38">COUNTIF($AP$80:$AP$91,CONCATENATE("&gt;=",AP81))</f>
        <v>1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2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3</v>
      </c>
      <c r="AJ81" s="123">
        <f t="shared" ref="AJ81:AJ90" si="42">VLOOKUP($AE81,$AE$8:$AQ$78,6,FALSE)</f>
        <v>2</v>
      </c>
      <c r="AK81" s="123" t="s">
        <v>3181</v>
      </c>
      <c r="AL81" s="123">
        <f t="shared" ref="AL81:AL90" si="43">VLOOKUP($AE81,$AE$8:$AQ$78,8,FALSE)</f>
        <v>1</v>
      </c>
      <c r="AM81" s="123">
        <f t="shared" ref="AM81:AM91" si="44">AL81-$AL$92</f>
        <v>6</v>
      </c>
      <c r="AN81" s="123">
        <f t="shared" ref="AN81:AN90" si="45">VLOOKUP($AE81,$AE$8:$AQ$78,10,FALSE)</f>
        <v>5</v>
      </c>
      <c r="AP81" s="123">
        <f>AN81/AN92*10000+AM81/AM92*1000+AI81/AI92*100+IF(AQ81=0,ROW(),AQ81)/2000000</f>
        <v>9250.4768833961916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Ⓘ Norway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4 - 3</v>
      </c>
      <c r="P82" s="101">
        <f t="shared" ref="P82:P92" si="48">L82*3+M82</f>
        <v>3</v>
      </c>
      <c r="AD82" s="123">
        <f t="shared" si="38"/>
        <v>4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3</v>
      </c>
      <c r="AJ82" s="123">
        <f t="shared" si="42"/>
        <v>3</v>
      </c>
      <c r="AK82" s="123" t="s">
        <v>3182</v>
      </c>
      <c r="AL82" s="123">
        <f t="shared" si="43"/>
        <v>0</v>
      </c>
      <c r="AM82" s="123">
        <f t="shared" si="44"/>
        <v>5</v>
      </c>
      <c r="AN82" s="123">
        <f t="shared" si="45"/>
        <v>3</v>
      </c>
      <c r="AP82" s="123">
        <f>AN82/AN92*10000+AM82/AM92*1000+AI82/AI92*100+IF(AQ82=0,ROW(),AQ82)/2000000</f>
        <v>5774.2864634607149</v>
      </c>
      <c r="AQ82" s="126">
        <f t="shared" si="37"/>
        <v>1498.35</v>
      </c>
      <c r="AR82" s="125" t="str">
        <f t="shared" ref="AR82:AR91" si="50">AR81&amp;IF(AD82&lt;=8,RIGHT(AK82,1),"")</f>
        <v>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Ⓛ Croatia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3 - 2</v>
      </c>
      <c r="P83" s="101">
        <f t="shared" si="48"/>
        <v>3</v>
      </c>
      <c r="AD83" s="123">
        <f t="shared" si="38"/>
        <v>7</v>
      </c>
      <c r="AE83" s="124" t="str">
        <f>J29</f>
        <v>Paraguay</v>
      </c>
      <c r="AF83" s="123">
        <f t="shared" si="39"/>
        <v>0</v>
      </c>
      <c r="AG83" s="123">
        <f t="shared" si="49"/>
        <v>1</v>
      </c>
      <c r="AH83" s="123">
        <f t="shared" si="40"/>
        <v>1</v>
      </c>
      <c r="AI83" s="123">
        <f t="shared" si="41"/>
        <v>1</v>
      </c>
      <c r="AJ83" s="123">
        <f t="shared" si="42"/>
        <v>2</v>
      </c>
      <c r="AK83" s="123" t="s">
        <v>3184</v>
      </c>
      <c r="AL83" s="123">
        <f t="shared" si="43"/>
        <v>-1</v>
      </c>
      <c r="AM83" s="123">
        <f t="shared" si="44"/>
        <v>4</v>
      </c>
      <c r="AN83" s="123">
        <f t="shared" si="45"/>
        <v>1</v>
      </c>
      <c r="AP83" s="123">
        <f>AN83/AN92*10000+AM83/AM92*1000+AI83/AI92*100+IF(AQ83=0,ROW(),AQ83)/2000000</f>
        <v>2258.0959898452379</v>
      </c>
      <c r="AQ83" s="126">
        <f t="shared" si="37"/>
        <v>1503.5</v>
      </c>
      <c r="AR83" s="125" t="str">
        <f t="shared" si="50"/>
        <v>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Ⓒ Scotland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2</v>
      </c>
      <c r="O84" s="100" t="str">
        <f>VLOOKUP(4,$AD$80:$AN$91,6,FALSE) &amp; " - " &amp; VLOOKUP(4,$AD$80:$AN$91,7,FALSE)</f>
        <v>3 - 3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10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2</v>
      </c>
      <c r="AI84" s="123">
        <f t="shared" si="41"/>
        <v>2</v>
      </c>
      <c r="AJ84" s="123">
        <f t="shared" si="42"/>
        <v>4</v>
      </c>
      <c r="AK84" s="123" t="s">
        <v>3185</v>
      </c>
      <c r="AL84" s="123">
        <f t="shared" si="43"/>
        <v>-2</v>
      </c>
      <c r="AM84" s="123">
        <f t="shared" si="44"/>
        <v>3</v>
      </c>
      <c r="AN84" s="123">
        <f t="shared" si="45"/>
        <v>0</v>
      </c>
      <c r="AP84" s="123">
        <f>AN84/AN92*10000+AM84/AM92*1000+AI84/AI92*100+IF(AQ84=0,ROW(),AQ84)/2000000</f>
        <v>468.57219506142854</v>
      </c>
      <c r="AQ84" s="126">
        <f t="shared" si="37"/>
        <v>1532.98</v>
      </c>
      <c r="AR84" s="125" t="str">
        <f t="shared" si="50"/>
        <v>BCD</v>
      </c>
      <c r="AS84" s="129" t="str">
        <f t="shared" si="46"/>
        <v/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Ⓙ Austria</v>
      </c>
      <c r="K85" s="100">
        <f t="shared" si="47"/>
        <v>2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1</v>
      </c>
      <c r="O85" s="100" t="str">
        <f>VLOOKUP(5,$AD$80:$AN$91,6,FALSE) &amp; " - " &amp; VLOOKUP(5,$AD$80:$AN$91,7,FALSE)</f>
        <v>1 - 2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6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1</v>
      </c>
      <c r="AI85" s="123">
        <f t="shared" si="41"/>
        <v>2</v>
      </c>
      <c r="AJ85" s="123">
        <f t="shared" si="42"/>
        <v>3</v>
      </c>
      <c r="AK85" s="123" t="s">
        <v>3186</v>
      </c>
      <c r="AL85" s="123">
        <f t="shared" si="43"/>
        <v>-1</v>
      </c>
      <c r="AM85" s="123">
        <f t="shared" si="44"/>
        <v>4</v>
      </c>
      <c r="AN85" s="123">
        <f t="shared" si="45"/>
        <v>1</v>
      </c>
      <c r="AP85" s="123">
        <f>AN85/AN92*10000+AM85/AM92*1000+AI85/AI92*100+IF(AQ85=0,ROW(),AQ85)/2000000</f>
        <v>2278.096068310238</v>
      </c>
      <c r="AQ85" s="126">
        <f t="shared" si="37"/>
        <v>1660.43</v>
      </c>
      <c r="AR85" s="125" t="str">
        <f t="shared" si="50"/>
        <v>BCDF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Ⓕ Japan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8</v>
      </c>
      <c r="AE86" s="124" t="str">
        <f>J47</f>
        <v>Iran</v>
      </c>
      <c r="AF86" s="123">
        <f t="shared" si="39"/>
        <v>0</v>
      </c>
      <c r="AG86" s="123">
        <f t="shared" si="49"/>
        <v>1</v>
      </c>
      <c r="AH86" s="123">
        <f t="shared" si="40"/>
        <v>1</v>
      </c>
      <c r="AI86" s="123">
        <f t="shared" si="41"/>
        <v>0</v>
      </c>
      <c r="AJ86" s="123">
        <f t="shared" si="42"/>
        <v>1</v>
      </c>
      <c r="AK86" s="123" t="s">
        <v>3187</v>
      </c>
      <c r="AL86" s="123">
        <f t="shared" si="43"/>
        <v>-1</v>
      </c>
      <c r="AM86" s="123">
        <f t="shared" si="44"/>
        <v>4</v>
      </c>
      <c r="AN86" s="123">
        <f t="shared" si="45"/>
        <v>1</v>
      </c>
      <c r="AP86" s="123">
        <f>AN86/AN92*10000+AM86/AM92*1000+AI86/AI92*100+IF(AQ86=0,ROW(),AQ86)/2000000</f>
        <v>2238.0960457452379</v>
      </c>
      <c r="AQ86" s="126">
        <f t="shared" si="37"/>
        <v>1615.3</v>
      </c>
      <c r="AR86" s="125" t="str">
        <f t="shared" si="50"/>
        <v>BCDFG</v>
      </c>
      <c r="AS86" s="129" t="str">
        <f t="shared" si="46"/>
        <v>Iran</v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1 - 2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11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2</v>
      </c>
      <c r="AI87" s="123">
        <f t="shared" si="41"/>
        <v>0</v>
      </c>
      <c r="AJ87" s="123">
        <f t="shared" si="42"/>
        <v>3</v>
      </c>
      <c r="AK87" s="123" t="s">
        <v>3188</v>
      </c>
      <c r="AL87" s="123">
        <f t="shared" si="43"/>
        <v>-3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285.71499642928575</v>
      </c>
      <c r="AQ87" s="126">
        <f t="shared" si="37"/>
        <v>1421.43</v>
      </c>
      <c r="AR87" s="125" t="str">
        <f t="shared" si="50"/>
        <v>BCDFG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Ⓖ Iran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0 - 1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2</v>
      </c>
      <c r="AE88" s="124" t="str">
        <f>J59</f>
        <v>Norway</v>
      </c>
      <c r="AF88" s="123">
        <f t="shared" si="39"/>
        <v>1</v>
      </c>
      <c r="AG88" s="123">
        <f t="shared" si="49"/>
        <v>0</v>
      </c>
      <c r="AH88" s="123">
        <f t="shared" si="40"/>
        <v>1</v>
      </c>
      <c r="AI88" s="123">
        <f t="shared" si="41"/>
        <v>4</v>
      </c>
      <c r="AJ88" s="123">
        <f t="shared" si="42"/>
        <v>3</v>
      </c>
      <c r="AK88" s="123" t="s">
        <v>3189</v>
      </c>
      <c r="AL88" s="123">
        <f t="shared" si="43"/>
        <v>1</v>
      </c>
      <c r="AM88" s="123">
        <f t="shared" si="44"/>
        <v>6</v>
      </c>
      <c r="AN88" s="123">
        <f t="shared" si="45"/>
        <v>3</v>
      </c>
      <c r="AP88" s="123">
        <f>AN88/AN92*10000+AM88/AM92*1000+AI88/AI92*100+IF(AQ88=0,ROW(),AQ88)/2000000</f>
        <v>5937.1436326128569</v>
      </c>
      <c r="AQ88" s="126">
        <f t="shared" si="37"/>
        <v>1550.94</v>
      </c>
      <c r="AR88" s="125" t="str">
        <f t="shared" si="50"/>
        <v>BCDFGI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Ⓐ Korea Republic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2</v>
      </c>
      <c r="O89" s="103" t="str">
        <f>VLOOKUP(9,$AD$80:$AN$91,6,FALSE) &amp; " - " &amp; VLOOKUP(9,$AD$80:$AN$91,7,FALSE)</f>
        <v>3 - 5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5</v>
      </c>
      <c r="AE89" s="124" t="str">
        <f>J65</f>
        <v>Austria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2</v>
      </c>
      <c r="AK89" s="123" t="s">
        <v>3190</v>
      </c>
      <c r="AL89" s="123">
        <f t="shared" si="43"/>
        <v>-1</v>
      </c>
      <c r="AM89" s="123">
        <f t="shared" si="44"/>
        <v>4</v>
      </c>
      <c r="AN89" s="123">
        <f t="shared" si="45"/>
        <v>3</v>
      </c>
      <c r="AP89" s="123">
        <f>AN89/AN92*10000+AM89/AM92*1000+AI89/AI92*100+IF(AQ89=0,ROW(),AQ89)/2000000</f>
        <v>5591.4293681535719</v>
      </c>
      <c r="AQ89" s="126">
        <f t="shared" si="37"/>
        <v>1593.45</v>
      </c>
      <c r="AR89" s="125" t="str">
        <f t="shared" si="50"/>
        <v>BCDFGIJ</v>
      </c>
      <c r="AS89" s="129" t="str">
        <f t="shared" si="46"/>
        <v>Austria</v>
      </c>
      <c r="AT89" s="130" t="str">
        <f>"Ⓙ "&amp;AE89</f>
        <v>Ⓙ Austria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Ⓔ Ivory Coast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2 - 4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12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2</v>
      </c>
      <c r="AI90" s="123">
        <f t="shared" si="41"/>
        <v>0</v>
      </c>
      <c r="AJ90" s="123">
        <f t="shared" si="42"/>
        <v>5</v>
      </c>
      <c r="AK90" s="123" t="s">
        <v>3191</v>
      </c>
      <c r="AL90" s="123">
        <f t="shared" si="43"/>
        <v>-5</v>
      </c>
      <c r="AM90" s="123">
        <f t="shared" si="44"/>
        <v>0</v>
      </c>
      <c r="AN90" s="123">
        <f t="shared" si="45"/>
        <v>0</v>
      </c>
      <c r="AP90" s="123">
        <f>AN90/AN92*10000+AM90/AM92*1000+AI90/AI92*100+IF(AQ90=0,ROW(),AQ90)/2000000</f>
        <v>7.391749999999999E-4</v>
      </c>
      <c r="AQ90" s="126">
        <f t="shared" si="37"/>
        <v>1478.35</v>
      </c>
      <c r="AR90" s="125" t="str">
        <f t="shared" si="50"/>
        <v>BCDFGIJ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Ⓗ Saudi Arabia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0 - 3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3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2</v>
      </c>
      <c r="AK91" s="123" t="s">
        <v>3192</v>
      </c>
      <c r="AL91" s="123">
        <f>VLOOKUP($AE91,$AE$8:$AQ$78,8,FALSE)</f>
        <v>1</v>
      </c>
      <c r="AM91" s="123">
        <f t="shared" si="44"/>
        <v>6</v>
      </c>
      <c r="AN91" s="123">
        <f>VLOOKUP($AE91,$AE$8:$AQ$78,10,FALSE)</f>
        <v>3</v>
      </c>
      <c r="AP91" s="123">
        <f>AN91/AN92*10000+AM91/AM92*1000+AI91/AI92*100+IF(AQ91=0,ROW(),AQ91)/2000000</f>
        <v>5917.1437156778566</v>
      </c>
      <c r="AQ91" s="126">
        <f t="shared" si="37"/>
        <v>1717.07</v>
      </c>
      <c r="AR91" s="125" t="str">
        <f t="shared" si="50"/>
        <v>BCDFGIJL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Ⓚ DR Congo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0 - 5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5</v>
      </c>
      <c r="AJ92" s="123">
        <f>MAX(AJ80:AJ91)+1</f>
        <v>6</v>
      </c>
      <c r="AL92" s="123">
        <f>MIN(AL80:AL91)</f>
        <v>-5</v>
      </c>
      <c r="AM92" s="123">
        <f>MAX(AM80:AM91)+1</f>
        <v>7</v>
      </c>
      <c r="AN92" s="123">
        <f>MAX(AN80:AN91)+1</f>
        <v>6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123</v>
      </c>
      <c r="C3" s="121" t="str">
        <f>'2026 World Cup'!AR91</f>
        <v>BCDFGIJL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E39FCCE5B25D41843728463D8702CD" ma:contentTypeVersion="3" ma:contentTypeDescription="Opprett et nytt dokument." ma:contentTypeScope="" ma:versionID="f526c9bbb9da171fc3aa15898664257d">
  <xsd:schema xmlns:xsd="http://www.w3.org/2001/XMLSchema" xmlns:xs="http://www.w3.org/2001/XMLSchema" xmlns:p="http://schemas.microsoft.com/office/2006/metadata/properties" xmlns:ns2="3dacec4a-16e0-4c23-af47-b0328532aa0c" targetNamespace="http://schemas.microsoft.com/office/2006/metadata/properties" ma:root="true" ma:fieldsID="9f692aa5e1eb72d1d7d7719d109e8ca1" ns2:_="">
    <xsd:import namespace="3dacec4a-16e0-4c23-af47-b0328532aa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acec4a-16e0-4c23-af47-b0328532aa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F111CA8-B7DF-4BB6-BA58-B6B64E66D0ED}"/>
</file>

<file path=customXml/itemProps2.xml><?xml version="1.0" encoding="utf-8"?>
<ds:datastoreItem xmlns:ds="http://schemas.openxmlformats.org/officeDocument/2006/customXml" ds:itemID="{EEE5795B-96C8-47EE-A841-211BADDD3AC6}"/>
</file>

<file path=customXml/itemProps3.xml><?xml version="1.0" encoding="utf-8"?>
<ds:datastoreItem xmlns:ds="http://schemas.openxmlformats.org/officeDocument/2006/customXml" ds:itemID="{67F88573-3515-4800-8A45-0C5DD11CD3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Navngitte områder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Runa Brandal Myklebust</cp:lastModifiedBy>
  <cp:revision/>
  <dcterms:created xsi:type="dcterms:W3CDTF">2017-12-27T19:32:51Z</dcterms:created>
  <dcterms:modified xsi:type="dcterms:W3CDTF">2026-06-16T11:59:56Z</dcterms:modified>
  <cp:category>Sports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0x01010090E39FCCE5B25D41843728463D8702CD</vt:lpwstr>
  </property>
</Properties>
</file>