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kant.uio.no\div-isf-felles\bruker\paalscho\"/>
    </mc:Choice>
  </mc:AlternateContent>
  <xr:revisionPtr revIDLastSave="0" documentId="13_ncr:1_{6C530E0E-9B15-46B4-B1AF-E748FA2A95C4}" xr6:coauthVersionLast="47" xr6:coauthVersionMax="47" xr10:uidLastSave="{00000000-0000-0000-0000-000000000000}"/>
  <bookViews>
    <workbookView xWindow="-120" yWindow="-120" windowWidth="38640" windowHeight="2112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T18" i="3"/>
  <c r="T41" i="3"/>
  <c r="S40" i="3"/>
  <c r="S62" i="3"/>
  <c r="T61" i="3"/>
  <c r="S38" i="3"/>
  <c r="S65" i="3"/>
  <c r="S55" i="3"/>
  <c r="T11" i="3"/>
  <c r="S57" i="3"/>
  <c r="T60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/>
  <c r="AP20" i="3" s="1"/>
  <c r="BI26" i="3"/>
  <c r="AP26" i="3" s="1"/>
  <c r="BI69" i="3" l="1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6" i="3"/>
  <c r="AR32" i="3" s="1"/>
  <c r="AP12" i="3"/>
  <c r="AR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11" i="3" l="1"/>
  <c r="AR10" i="3"/>
  <c r="AR70" i="3"/>
  <c r="AD58" i="3"/>
  <c r="AR69" i="3"/>
  <c r="AR35" i="3"/>
  <c r="AR71" i="3"/>
  <c r="AD68" i="3" s="1"/>
  <c r="AR9" i="3"/>
  <c r="AD9" i="3" s="1"/>
  <c r="AD57" i="3"/>
  <c r="AR33" i="3"/>
  <c r="AR34" i="3"/>
  <c r="AR22" i="3"/>
  <c r="AR27" i="3"/>
  <c r="AR28" i="3"/>
  <c r="AR29" i="3"/>
  <c r="AR75" i="3"/>
  <c r="AR76" i="3"/>
  <c r="AR77" i="3"/>
  <c r="AR41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34" i="3" l="1"/>
  <c r="AD71" i="3"/>
  <c r="AD70" i="3"/>
  <c r="AD69" i="3"/>
  <c r="AD33" i="3"/>
  <c r="AD32" i="3"/>
  <c r="AD35" i="3"/>
  <c r="AD11" i="3"/>
  <c r="AD10" i="3"/>
  <c r="AD8" i="3"/>
  <c r="AD26" i="3"/>
  <c r="AD29" i="3"/>
  <c r="AD28" i="3"/>
  <c r="AD27" i="3"/>
  <c r="AD77" i="3"/>
  <c r="AD74" i="3"/>
  <c r="AD75" i="3"/>
  <c r="L59" i="3"/>
  <c r="AD14" i="3"/>
  <c r="N58" i="3"/>
  <c r="AD44" i="3"/>
  <c r="L58" i="3"/>
  <c r="M58" i="3"/>
  <c r="AD76" i="3"/>
  <c r="O60" i="3"/>
  <c r="M59" i="3"/>
  <c r="AD15" i="3"/>
  <c r="AD22" i="3"/>
  <c r="AD62" i="3"/>
  <c r="AD39" i="3"/>
  <c r="AD21" i="3"/>
  <c r="AD41" i="3"/>
  <c r="AD47" i="3"/>
  <c r="AD53" i="3"/>
  <c r="AD63" i="3"/>
  <c r="AD20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L69" i="3"/>
  <c r="M69" i="3"/>
  <c r="N69" i="3"/>
  <c r="O69" i="3"/>
  <c r="J69" i="3"/>
  <c r="AS68" i="3" s="1"/>
  <c r="BL70" i="3" s="1"/>
  <c r="N72" i="3" l="1"/>
  <c r="N71" i="3"/>
  <c r="O71" i="3"/>
  <c r="J70" i="3"/>
  <c r="AS69" i="3" s="1"/>
  <c r="BL26" i="3" s="1"/>
  <c r="J71" i="3"/>
  <c r="AE90" i="3" s="1"/>
  <c r="AQ90" i="3" s="1"/>
  <c r="L72" i="3"/>
  <c r="M71" i="3"/>
  <c r="M72" i="3"/>
  <c r="M70" i="3"/>
  <c r="N35" i="3"/>
  <c r="L71" i="3"/>
  <c r="N70" i="3"/>
  <c r="O70" i="3"/>
  <c r="L70" i="3"/>
  <c r="J33" i="3"/>
  <c r="AS32" i="3" s="1"/>
  <c r="BL10" i="3" s="1"/>
  <c r="O72" i="3"/>
  <c r="N36" i="3"/>
  <c r="J36" i="3"/>
  <c r="M35" i="3"/>
  <c r="O36" i="3"/>
  <c r="J72" i="3"/>
  <c r="O34" i="3"/>
  <c r="L36" i="3"/>
  <c r="M34" i="3"/>
  <c r="N10" i="3"/>
  <c r="J10" i="3"/>
  <c r="AS9" i="3" s="1"/>
  <c r="BL18" i="3" s="1"/>
  <c r="S88" i="3" s="1"/>
  <c r="T88" i="3" s="1" a="1"/>
  <c r="T88" i="3" s="1"/>
  <c r="J34" i="3"/>
  <c r="AS33" i="3" s="1"/>
  <c r="BL46" i="3" s="1"/>
  <c r="N34" i="3"/>
  <c r="O35" i="3"/>
  <c r="J35" i="3"/>
  <c r="AE84" i="3" s="1"/>
  <c r="AQ84" i="3" s="1"/>
  <c r="M11" i="3"/>
  <c r="M36" i="3"/>
  <c r="M33" i="3"/>
  <c r="L11" i="3"/>
  <c r="L35" i="3"/>
  <c r="O33" i="3"/>
  <c r="M12" i="3"/>
  <c r="L34" i="3"/>
  <c r="M10" i="3"/>
  <c r="N11" i="3"/>
  <c r="M9" i="3"/>
  <c r="O10" i="3"/>
  <c r="O12" i="3"/>
  <c r="L10" i="3"/>
  <c r="N9" i="3"/>
  <c r="J11" i="3"/>
  <c r="AE80" i="3" s="1"/>
  <c r="AQ80" i="3" s="1"/>
  <c r="O11" i="3"/>
  <c r="N33" i="3"/>
  <c r="L33" i="3"/>
  <c r="N39" i="3"/>
  <c r="L9" i="3"/>
  <c r="O9" i="3"/>
  <c r="N12" i="3"/>
  <c r="L12" i="3"/>
  <c r="J9" i="3"/>
  <c r="AS8" i="3" s="1"/>
  <c r="BL50" i="3" s="1"/>
  <c r="J12" i="3"/>
  <c r="M28" i="3"/>
  <c r="N28" i="3"/>
  <c r="M30" i="3"/>
  <c r="O28" i="3"/>
  <c r="L28" i="3"/>
  <c r="J28" i="3"/>
  <c r="AS27" i="3" s="1"/>
  <c r="BL62" i="3" s="1"/>
  <c r="L30" i="3"/>
  <c r="J30" i="3"/>
  <c r="O30" i="3"/>
  <c r="N75" i="3"/>
  <c r="J75" i="3"/>
  <c r="AS74" i="3" s="1"/>
  <c r="BL54" i="3" s="1"/>
  <c r="P59" i="3"/>
  <c r="J27" i="3"/>
  <c r="AS26" i="3" s="1"/>
  <c r="BL34" i="3" s="1"/>
  <c r="O29" i="3"/>
  <c r="L29" i="3"/>
  <c r="O27" i="3"/>
  <c r="N29" i="3"/>
  <c r="M27" i="3"/>
  <c r="L27" i="3"/>
  <c r="L78" i="3"/>
  <c r="N77" i="3"/>
  <c r="O76" i="3"/>
  <c r="M75" i="3"/>
  <c r="O78" i="3"/>
  <c r="O77" i="3"/>
  <c r="M78" i="3"/>
  <c r="M76" i="3"/>
  <c r="N76" i="3"/>
  <c r="M29" i="3"/>
  <c r="J29" i="3"/>
  <c r="AE83" i="3" s="1"/>
  <c r="AQ83" i="3" s="1"/>
  <c r="J78" i="3"/>
  <c r="N78" i="3"/>
  <c r="O75" i="3"/>
  <c r="J77" i="3"/>
  <c r="AE91" i="3" s="1"/>
  <c r="AQ91" i="3" s="1"/>
  <c r="L76" i="3"/>
  <c r="L75" i="3"/>
  <c r="N27" i="3"/>
  <c r="M77" i="3"/>
  <c r="J76" i="3"/>
  <c r="AS75" i="3" s="1"/>
  <c r="BL27" i="3" s="1"/>
  <c r="S86" i="3" s="1"/>
  <c r="T86" i="3" s="1" a="1"/>
  <c r="T86" i="3" s="1"/>
  <c r="N30" i="3"/>
  <c r="N51" i="3"/>
  <c r="P58" i="3"/>
  <c r="L77" i="3"/>
  <c r="L63" i="3"/>
  <c r="J45" i="3"/>
  <c r="AS44" i="3" s="1"/>
  <c r="BL38" i="3" s="1"/>
  <c r="J18" i="3"/>
  <c r="N47" i="3"/>
  <c r="O45" i="3"/>
  <c r="L45" i="3"/>
  <c r="N45" i="3"/>
  <c r="M45" i="3"/>
  <c r="L18" i="3"/>
  <c r="K58" i="3"/>
  <c r="K59" i="3"/>
  <c r="M18" i="3"/>
  <c r="N18" i="3"/>
  <c r="O18" i="3"/>
  <c r="N15" i="3"/>
  <c r="J63" i="3"/>
  <c r="AS62" i="3" s="1"/>
  <c r="BL58" i="3" s="1"/>
  <c r="BS60" i="3" s="1"/>
  <c r="BZ64" i="3" s="1"/>
  <c r="O63" i="3"/>
  <c r="N63" i="3"/>
  <c r="M63" i="3"/>
  <c r="J16" i="3"/>
  <c r="AS15" i="3" s="1"/>
  <c r="BL19" i="3" s="1"/>
  <c r="L17" i="3"/>
  <c r="O17" i="3"/>
  <c r="N17" i="3"/>
  <c r="J17" i="3"/>
  <c r="AE81" i="3" s="1"/>
  <c r="AQ81" i="3" s="1"/>
  <c r="M17" i="3"/>
  <c r="M48" i="3"/>
  <c r="N65" i="3"/>
  <c r="O39" i="3"/>
  <c r="M65" i="3"/>
  <c r="L16" i="3"/>
  <c r="J39" i="3"/>
  <c r="AS38" i="3" s="1"/>
  <c r="BL22" i="3" s="1"/>
  <c r="L65" i="3"/>
  <c r="M39" i="3"/>
  <c r="N41" i="3"/>
  <c r="O48" i="3"/>
  <c r="L40" i="3"/>
  <c r="J64" i="3"/>
  <c r="AS63" i="3" s="1"/>
  <c r="BL31" i="3" s="1"/>
  <c r="M40" i="3"/>
  <c r="J65" i="3"/>
  <c r="AE89" i="3" s="1"/>
  <c r="AQ89" i="3" s="1"/>
  <c r="L39" i="3"/>
  <c r="O65" i="3"/>
  <c r="L48" i="3"/>
  <c r="J46" i="3"/>
  <c r="AS45" i="3" s="1"/>
  <c r="BL63" i="3" s="1"/>
  <c r="O40" i="3"/>
  <c r="N40" i="3"/>
  <c r="O16" i="3"/>
  <c r="M16" i="3"/>
  <c r="M64" i="3"/>
  <c r="J40" i="3"/>
  <c r="AS39" i="3" s="1"/>
  <c r="BL43" i="3" s="1"/>
  <c r="N16" i="3"/>
  <c r="J23" i="3"/>
  <c r="AE82" i="3" s="1"/>
  <c r="AQ82" i="3" s="1"/>
  <c r="M51" i="3"/>
  <c r="L24" i="3"/>
  <c r="K57" i="3"/>
  <c r="M53" i="3"/>
  <c r="J52" i="3"/>
  <c r="AS51" i="3" s="1"/>
  <c r="BL59" i="3" s="1"/>
  <c r="N23" i="3"/>
  <c r="L54" i="3"/>
  <c r="O53" i="3"/>
  <c r="M21" i="3"/>
  <c r="O54" i="3"/>
  <c r="M24" i="3"/>
  <c r="AT88" i="3"/>
  <c r="AN88" i="3"/>
  <c r="AL88" i="3"/>
  <c r="AJ88" i="3"/>
  <c r="L52" i="3"/>
  <c r="J53" i="3"/>
  <c r="AE87" i="3" s="1"/>
  <c r="AQ87" i="3" s="1"/>
  <c r="L51" i="3"/>
  <c r="N22" i="3"/>
  <c r="N24" i="3"/>
  <c r="J24" i="3"/>
  <c r="O64" i="3"/>
  <c r="N52" i="3"/>
  <c r="O52" i="3"/>
  <c r="M54" i="3"/>
  <c r="O22" i="3"/>
  <c r="M22" i="3"/>
  <c r="O51" i="3"/>
  <c r="J51" i="3"/>
  <c r="AS50" i="3" s="1"/>
  <c r="BL30" i="3" s="1"/>
  <c r="N21" i="3"/>
  <c r="L21" i="3"/>
  <c r="J54" i="3"/>
  <c r="M52" i="3"/>
  <c r="O24" i="3"/>
  <c r="J21" i="3"/>
  <c r="AS20" i="3" s="1"/>
  <c r="BL42" i="3" s="1"/>
  <c r="BS44" i="3" s="1"/>
  <c r="BZ48" i="3" s="1"/>
  <c r="AI88" i="3"/>
  <c r="N54" i="3"/>
  <c r="N53" i="3"/>
  <c r="L22" i="3"/>
  <c r="J22" i="3"/>
  <c r="AS21" i="3" s="1"/>
  <c r="BL23" i="3" s="1"/>
  <c r="AH88" i="3"/>
  <c r="L53" i="3"/>
  <c r="O21" i="3"/>
  <c r="AF88" i="3"/>
  <c r="P57" i="3"/>
  <c r="N64" i="3"/>
  <c r="L64" i="3"/>
  <c r="J42" i="3"/>
  <c r="L66" i="3"/>
  <c r="L15" i="3"/>
  <c r="AG88" i="3"/>
  <c r="L23" i="3"/>
  <c r="M47" i="3"/>
  <c r="O46" i="3"/>
  <c r="J47" i="3"/>
  <c r="AE86" i="3" s="1"/>
  <c r="AQ86" i="3" s="1"/>
  <c r="J48" i="3"/>
  <c r="O41" i="3"/>
  <c r="L41" i="3"/>
  <c r="O66" i="3"/>
  <c r="L46" i="3"/>
  <c r="M42" i="3"/>
  <c r="M23" i="3"/>
  <c r="N66" i="3"/>
  <c r="N48" i="3"/>
  <c r="N46" i="3"/>
  <c r="L42" i="3"/>
  <c r="J41" i="3"/>
  <c r="AE85" i="3" s="1"/>
  <c r="AQ85" i="3" s="1"/>
  <c r="O42" i="3"/>
  <c r="M66" i="3"/>
  <c r="O47" i="3"/>
  <c r="L47" i="3"/>
  <c r="M41" i="3"/>
  <c r="J66" i="3"/>
  <c r="M46" i="3"/>
  <c r="O23" i="3"/>
  <c r="N42" i="3"/>
  <c r="P60" i="3"/>
  <c r="K60" i="3"/>
  <c r="M15" i="3"/>
  <c r="O15" i="3"/>
  <c r="J15" i="3"/>
  <c r="AS14" i="3" s="1"/>
  <c r="BL66" i="3" s="1"/>
  <c r="AF90" i="3"/>
  <c r="AG90" i="3"/>
  <c r="AH90" i="3"/>
  <c r="AI90" i="3"/>
  <c r="AJ90" i="3"/>
  <c r="AL90" i="3"/>
  <c r="AN90" i="3"/>
  <c r="P69" i="3"/>
  <c r="K69" i="3"/>
  <c r="BS61" i="3" l="1"/>
  <c r="BS28" i="3"/>
  <c r="AT90" i="3"/>
  <c r="P72" i="3"/>
  <c r="P70" i="3"/>
  <c r="P71" i="3"/>
  <c r="K70" i="3"/>
  <c r="K72" i="3"/>
  <c r="K71" i="3"/>
  <c r="P35" i="3"/>
  <c r="P34" i="3"/>
  <c r="K36" i="3"/>
  <c r="P33" i="3"/>
  <c r="P12" i="3"/>
  <c r="AG80" i="3"/>
  <c r="AG84" i="3"/>
  <c r="AF84" i="3"/>
  <c r="AF80" i="3"/>
  <c r="P10" i="3"/>
  <c r="BS20" i="3"/>
  <c r="AH80" i="3"/>
  <c r="AH84" i="3"/>
  <c r="AT84" i="3"/>
  <c r="K34" i="3"/>
  <c r="AN80" i="3"/>
  <c r="AN84" i="3"/>
  <c r="AT80" i="3"/>
  <c r="AL80" i="3"/>
  <c r="AL84" i="3"/>
  <c r="AJ80" i="3"/>
  <c r="AJ84" i="3"/>
  <c r="AI80" i="3"/>
  <c r="AI84" i="3"/>
  <c r="K10" i="3"/>
  <c r="P11" i="3"/>
  <c r="P36" i="3"/>
  <c r="K33" i="3"/>
  <c r="K11" i="3"/>
  <c r="P9" i="3"/>
  <c r="K35" i="3"/>
  <c r="K9" i="3"/>
  <c r="K12" i="3"/>
  <c r="P28" i="3"/>
  <c r="K28" i="3"/>
  <c r="K30" i="3"/>
  <c r="P30" i="3"/>
  <c r="S87" i="3"/>
  <c r="T87" i="3" s="1" a="1"/>
  <c r="T87" i="3" s="1"/>
  <c r="BS29" i="3"/>
  <c r="S89" i="3"/>
  <c r="T89" i="3" s="1" a="1"/>
  <c r="T89" i="3" s="1"/>
  <c r="BS21" i="3"/>
  <c r="AI83" i="3"/>
  <c r="AJ83" i="3"/>
  <c r="P27" i="3"/>
  <c r="K27" i="3"/>
  <c r="K29" i="3"/>
  <c r="K78" i="3"/>
  <c r="P48" i="3"/>
  <c r="P76" i="3"/>
  <c r="AH91" i="3"/>
  <c r="AI91" i="3"/>
  <c r="P78" i="3"/>
  <c r="AG91" i="3"/>
  <c r="AF91" i="3"/>
  <c r="AT91" i="3"/>
  <c r="AN91" i="3"/>
  <c r="AL91" i="3"/>
  <c r="AJ91" i="3"/>
  <c r="P75" i="3"/>
  <c r="AF83" i="3"/>
  <c r="AT83" i="3"/>
  <c r="P29" i="3"/>
  <c r="K75" i="3"/>
  <c r="AH83" i="3"/>
  <c r="AN83" i="3"/>
  <c r="AG83" i="3"/>
  <c r="AL83" i="3"/>
  <c r="K76" i="3"/>
  <c r="P77" i="3"/>
  <c r="K77" i="3"/>
  <c r="P63" i="3"/>
  <c r="P45" i="3"/>
  <c r="P17" i="3"/>
  <c r="K45" i="3"/>
  <c r="P18" i="3"/>
  <c r="K18" i="3"/>
  <c r="AT81" i="3"/>
  <c r="AN81" i="3"/>
  <c r="AL81" i="3"/>
  <c r="AJ81" i="3"/>
  <c r="AH81" i="3"/>
  <c r="AG81" i="3"/>
  <c r="AF81" i="3"/>
  <c r="AI81" i="3"/>
  <c r="AG82" i="3"/>
  <c r="K63" i="3"/>
  <c r="K17" i="3"/>
  <c r="P16" i="3"/>
  <c r="AH89" i="3"/>
  <c r="AF89" i="3"/>
  <c r="AT89" i="3"/>
  <c r="AG89" i="3"/>
  <c r="AN89" i="3"/>
  <c r="AL89" i="3"/>
  <c r="AJ89" i="3"/>
  <c r="AI89" i="3"/>
  <c r="AF82" i="3"/>
  <c r="AI82" i="3"/>
  <c r="AT82" i="3"/>
  <c r="AN82" i="3"/>
  <c r="AL82" i="3"/>
  <c r="AJ82" i="3"/>
  <c r="AJ87" i="3"/>
  <c r="AH82" i="3"/>
  <c r="P65" i="3"/>
  <c r="P39" i="3"/>
  <c r="K65" i="3"/>
  <c r="P64" i="3"/>
  <c r="K16" i="3"/>
  <c r="K48" i="3"/>
  <c r="K39" i="3"/>
  <c r="AT86" i="3"/>
  <c r="P24" i="3"/>
  <c r="AF86" i="3"/>
  <c r="AT87" i="3"/>
  <c r="P21" i="3"/>
  <c r="K22" i="3"/>
  <c r="K40" i="3"/>
  <c r="P53" i="3"/>
  <c r="K51" i="3"/>
  <c r="P40" i="3"/>
  <c r="AH85" i="3"/>
  <c r="AG85" i="3"/>
  <c r="P22" i="3"/>
  <c r="K24" i="3"/>
  <c r="P52" i="3"/>
  <c r="K54" i="3"/>
  <c r="AN86" i="3"/>
  <c r="AL86" i="3"/>
  <c r="K64" i="3"/>
  <c r="AJ86" i="3"/>
  <c r="AI86" i="3"/>
  <c r="AH86" i="3"/>
  <c r="P41" i="3"/>
  <c r="P15" i="3"/>
  <c r="AG86" i="3"/>
  <c r="P54" i="3"/>
  <c r="K41" i="3"/>
  <c r="K52" i="3"/>
  <c r="K15" i="3"/>
  <c r="P51" i="3"/>
  <c r="K21" i="3"/>
  <c r="P42" i="3"/>
  <c r="P46" i="3"/>
  <c r="AN87" i="3"/>
  <c r="AL87" i="3"/>
  <c r="AH87" i="3"/>
  <c r="AI87" i="3"/>
  <c r="AG87" i="3"/>
  <c r="K23" i="3"/>
  <c r="K53" i="3"/>
  <c r="AF87" i="3"/>
  <c r="K66" i="3"/>
  <c r="K47" i="3"/>
  <c r="P23" i="3"/>
  <c r="P66" i="3"/>
  <c r="K42" i="3"/>
  <c r="P47" i="3"/>
  <c r="AF85" i="3"/>
  <c r="AT85" i="3"/>
  <c r="AN85" i="3"/>
  <c r="AL85" i="3"/>
  <c r="K46" i="3"/>
  <c r="AJ85" i="3"/>
  <c r="AI85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G92" i="3"/>
  <c r="AL92" i="3"/>
  <c r="AM88" i="3" s="1"/>
  <c r="AI92" i="3"/>
  <c r="AH92" i="3"/>
  <c r="AN92" i="3"/>
  <c r="AF92" i="3"/>
  <c r="AS92" i="3"/>
  <c r="S103" i="3" l="1"/>
  <c r="T103" i="3" s="1" a="1"/>
  <c r="T103" i="3" s="1"/>
  <c r="CG24" i="3"/>
  <c r="AM84" i="3"/>
  <c r="AM86" i="3"/>
  <c r="AM87" i="3"/>
  <c r="AM81" i="3"/>
  <c r="AM80" i="3"/>
  <c r="AM83" i="3"/>
  <c r="AM89" i="3"/>
  <c r="AM90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S111" i="3" s="1"/>
  <c r="T111" i="3" s="1"/>
  <c r="AP80" i="3"/>
  <c r="AP91" i="3"/>
  <c r="AP88" i="3"/>
  <c r="AP90" i="3"/>
  <c r="AP89" i="3"/>
  <c r="AP86" i="3"/>
  <c r="AP84" i="3"/>
  <c r="AP85" i="3"/>
  <c r="AP81" i="3"/>
  <c r="AP83" i="3"/>
  <c r="AP82" i="3"/>
  <c r="CN37" i="3" l="1"/>
  <c r="CK68" i="3" s="1"/>
  <c r="CN48" i="3"/>
  <c r="AD89" i="3"/>
  <c r="AS89" i="3" s="1"/>
  <c r="AD84" i="3"/>
  <c r="AS84" i="3" s="1"/>
  <c r="AD85" i="3"/>
  <c r="AS85" i="3" s="1"/>
  <c r="AD82" i="3"/>
  <c r="AS82" i="3" s="1"/>
  <c r="AD86" i="3"/>
  <c r="AS86" i="3" s="1"/>
  <c r="AD83" i="3"/>
  <c r="AS83" i="3" s="1"/>
  <c r="AD81" i="3"/>
  <c r="AS81" i="3" s="1"/>
  <c r="AD80" i="3"/>
  <c r="AR80" i="3" s="1"/>
  <c r="AD87" i="3"/>
  <c r="AS87" i="3" s="1"/>
  <c r="AD88" i="3"/>
  <c r="AS88" i="3" s="1"/>
  <c r="AD91" i="3"/>
  <c r="AS91" i="3" s="1"/>
  <c r="AD90" i="3"/>
  <c r="AS90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88" i="3"/>
  <c r="J91" i="3"/>
  <c r="J92" i="3"/>
  <c r="M92" i="3"/>
  <c r="L87" i="3"/>
  <c r="L92" i="3"/>
  <c r="M83" i="3"/>
  <c r="N87" i="3"/>
  <c r="J86" i="3"/>
  <c r="J82" i="3"/>
  <c r="O92" i="3"/>
  <c r="N88" i="3"/>
  <c r="N92" i="3"/>
  <c r="L81" i="3"/>
  <c r="M89" i="3"/>
  <c r="O82" i="3"/>
  <c r="J88" i="3"/>
  <c r="O84" i="3"/>
  <c r="O81" i="3"/>
  <c r="N81" i="3"/>
  <c r="M86" i="3"/>
  <c r="L86" i="3"/>
  <c r="O86" i="3"/>
  <c r="N86" i="3"/>
  <c r="O87" i="3"/>
  <c r="N82" i="3"/>
  <c r="J87" i="3"/>
  <c r="J83" i="3"/>
  <c r="N83" i="3"/>
  <c r="L82" i="3"/>
  <c r="L88" i="3"/>
  <c r="L89" i="3"/>
  <c r="J89" i="3"/>
  <c r="M82" i="3"/>
  <c r="J81" i="3"/>
  <c r="O88" i="3"/>
  <c r="M87" i="3"/>
  <c r="L83" i="3"/>
  <c r="N89" i="3"/>
  <c r="O89" i="3"/>
  <c r="N91" i="3"/>
  <c r="O85" i="3"/>
  <c r="AS80" i="3"/>
  <c r="M85" i="3"/>
  <c r="O83" i="3"/>
  <c r="L85" i="3"/>
  <c r="M91" i="3"/>
  <c r="N85" i="3"/>
  <c r="L91" i="3"/>
  <c r="J85" i="3"/>
  <c r="M84" i="3"/>
  <c r="L90" i="3"/>
  <c r="M90" i="3"/>
  <c r="J90" i="3"/>
  <c r="O90" i="3"/>
  <c r="O91" i="3"/>
  <c r="J84" i="3"/>
  <c r="N90" i="3"/>
  <c r="L84" i="3"/>
  <c r="N84" i="3"/>
  <c r="S90" i="3" l="1"/>
  <c r="T90" i="3" s="1" a="1"/>
  <c r="T90" i="3" s="1"/>
  <c r="BS36" i="3"/>
  <c r="P88" i="3"/>
  <c r="K87" i="3"/>
  <c r="K81" i="3"/>
  <c r="P92" i="3"/>
  <c r="P81" i="3"/>
  <c r="P86" i="3"/>
  <c r="P83" i="3"/>
  <c r="K92" i="3"/>
  <c r="P89" i="3"/>
  <c r="K86" i="3"/>
  <c r="P82" i="3"/>
  <c r="K88" i="3"/>
  <c r="K82" i="3"/>
  <c r="K89" i="3"/>
  <c r="P87" i="3"/>
  <c r="K83" i="3"/>
  <c r="P85" i="3"/>
  <c r="K85" i="3"/>
  <c r="K91" i="3"/>
  <c r="K90" i="3"/>
  <c r="P91" i="3"/>
  <c r="P84" i="3"/>
  <c r="P90" i="3"/>
  <c r="K84" i="3"/>
  <c r="G3" i="4"/>
  <c r="BL11" i="3" s="1"/>
  <c r="H3" i="4"/>
  <c r="BL39" i="3" s="1"/>
  <c r="B3" i="4"/>
  <c r="K3" i="4"/>
  <c r="BL55" i="3" s="1"/>
  <c r="E3" i="4"/>
  <c r="BL67" i="3" s="1"/>
  <c r="J3" i="4"/>
  <c r="BL71" i="3" s="1"/>
  <c r="I3" i="4"/>
  <c r="BL15" i="3" s="1"/>
  <c r="D3" i="4"/>
  <c r="BL51" i="3" s="1"/>
  <c r="BS53" i="3"/>
  <c r="BS52" i="3"/>
  <c r="BZ49" i="3" s="1"/>
  <c r="CG55" i="3" s="1"/>
  <c r="BS69" i="3"/>
  <c r="BZ65" i="3" s="1"/>
  <c r="CG56" i="3" s="1"/>
  <c r="BS68" i="3"/>
  <c r="CN38" i="3" l="1"/>
  <c r="CN49" i="3"/>
  <c r="S91" i="3"/>
  <c r="T91" i="3" s="1" a="1"/>
  <c r="T91" i="3" s="1"/>
  <c r="BS37" i="3"/>
  <c r="S98" i="3" l="1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<sst xmlns="http://schemas.openxmlformats.org/spreadsheetml/2006/main" count="9786" uniqueCount="3698">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</sst>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kobling" xfId="1" builtinId="8"/>
    <cellStyle name="Merknad" xfId="2" builtinId="10"/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C1" zoomScaleNormal="100" workbookViewId="0">
      <selection activeCell="BZ81" sqref="BZ81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1</v>
      </c>
      <c r="AL8" s="123">
        <f>AI8-AJ8</f>
        <v>5</v>
      </c>
      <c r="AM8" s="123">
        <f>AL8-AL12</f>
        <v>9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90000009.857983366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6 - 1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1</v>
      </c>
      <c r="AJ9" s="123">
        <f>SUMIF($E$7:$E$78,$AE9,$G$7:$G$78) + SUMIF($H$7:$H$78,$AE9,$F$7:$F$78)</f>
        <v>5</v>
      </c>
      <c r="AL9" s="123">
        <f>AI9-AJ9</f>
        <v>-4</v>
      </c>
      <c r="AM9" s="123">
        <f>AL9-AL12</f>
        <v>0</v>
      </c>
      <c r="AN9" s="123">
        <f>AF9*3+AG9</f>
        <v>1</v>
      </c>
      <c r="AO9" s="123">
        <f>AN9/AN12*10+BA9</f>
        <v>1</v>
      </c>
      <c r="AP9" s="123">
        <f>AO9*10000000+BI9*100+AM9/AM12*10+AI9/AI12*1++IF(AQ9=0,ROW(),AQ9)/2000000</f>
        <v>10000000.143572008</v>
      </c>
      <c r="AQ9" s="126">
        <f>VLOOKUP(AE9,db_fifarank,2,FALSE)</f>
        <v>1429.73</v>
      </c>
      <c r="AR9" s="125">
        <f>AP9/AP12</f>
        <v>0.11111109930143934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3 - 3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2</v>
      </c>
      <c r="AH10" s="123">
        <f>COUNTIF($S$7:$T$78,"=" &amp; AE10 &amp; "_lose")</f>
        <v>1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4</v>
      </c>
      <c r="AL10" s="123">
        <f>AI10-AJ10</f>
        <v>-1</v>
      </c>
      <c r="AM10" s="123">
        <f>AL10-AL12</f>
        <v>3</v>
      </c>
      <c r="AN10" s="123">
        <f>AF10*3+AG10</f>
        <v>2</v>
      </c>
      <c r="AO10" s="123">
        <f>AN10/AN12*10+BA10</f>
        <v>2</v>
      </c>
      <c r="AP10" s="123">
        <f>AO10*10000000+BI10*100+AM10/AM12*10+AI10/AI12*1++IF(AQ10=0,ROW(),AQ10)/2000000</f>
        <v>20000003.429365758</v>
      </c>
      <c r="AQ10" s="126">
        <f>VLOOKUP(AE10,db_fifarank,2,FALSE)</f>
        <v>1588.66</v>
      </c>
      <c r="AR10" s="125">
        <f>AP10/AP12</f>
        <v>0.22222223351644937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3 - 4</v>
      </c>
      <c r="P11" s="34">
        <f>L11*3+M11</f>
        <v>2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3</v>
      </c>
      <c r="AL11" s="123">
        <f>AI11-AJ11</f>
        <v>0</v>
      </c>
      <c r="AM11" s="123">
        <f>AL11-AL12</f>
        <v>4</v>
      </c>
      <c r="AN11" s="123">
        <f>AF11*3+AG11</f>
        <v>4</v>
      </c>
      <c r="AO11" s="123">
        <f>AN11/AN12*10+BA11</f>
        <v>4</v>
      </c>
      <c r="AP11" s="123">
        <f>AO11*10000000+BI11*100+AM11/AM12*10+AI11/AI12*1++IF(AQ11=0,ROW(),AQ11)/2000000</f>
        <v>40000004.429322116</v>
      </c>
      <c r="AQ11" s="126">
        <f>VLOOKUP(AE11,db_fifarank,2,FALSE)</f>
        <v>1501.38</v>
      </c>
      <c r="AR11" s="125">
        <f>AP11/AP12</f>
        <v>0.44444444003946421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Australia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1 - 5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3</v>
      </c>
      <c r="AH12" s="123">
        <f t="shared" si="12"/>
        <v>3</v>
      </c>
      <c r="AI12" s="123">
        <f>MAX(AI8:AI11)+1</f>
        <v>7</v>
      </c>
      <c r="AL12" s="123">
        <f>MIN(AL8:AL11)</f>
        <v>-4</v>
      </c>
      <c r="AM12" s="123">
        <f>MAX(AM8:AM11)+1</f>
        <v>10</v>
      </c>
      <c r="AN12" s="123">
        <f>MAX(AN8:AN11)+1</f>
        <v>10</v>
      </c>
      <c r="AO12" s="123">
        <f>MAX(AO8:AO11)+1</f>
        <v>10</v>
      </c>
      <c r="AP12" s="123">
        <f>MAX(AP8:AP11)+1</f>
        <v>90000010.857983366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>
        <v>1</v>
      </c>
      <c r="BV12" s="25"/>
      <c r="BW12" s="112">
        <f>IF(OR(BT12="",BT13="",AND(BU12="",BU13&lt;&gt;""),AND(BU13="",BU12&lt;&gt;""),AND(BV12="",BV13&lt;&gt;""),AND(BV13="",BV12&lt;&gt;"")),"",BT12*1000+BU12*10+BV12)</f>
        <v>1010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2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2</v>
      </c>
      <c r="W13" s="123">
        <f t="shared" si="4"/>
        <v>2</v>
      </c>
      <c r="X13" s="123">
        <f t="shared" si="9"/>
        <v>1</v>
      </c>
      <c r="Y13" s="123">
        <f t="shared" si="10"/>
        <v>2</v>
      </c>
      <c r="Z13" s="123">
        <f t="shared" si="11"/>
        <v>2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France</v>
      </c>
      <c r="BT13" s="62">
        <v>1</v>
      </c>
      <c r="BU13" s="64">
        <v>2</v>
      </c>
      <c r="BV13" s="27"/>
      <c r="BW13" s="113">
        <f>IF(BW12="","",BT13*1000+BU13*10+BV13)</f>
        <v>1020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2</v>
      </c>
      <c r="AL14" s="123">
        <f>AI14-AJ14</f>
        <v>3</v>
      </c>
      <c r="AM14" s="123">
        <f>AL14-AL18</f>
        <v>10</v>
      </c>
      <c r="AN14" s="123">
        <f>AF14*3+AG14</f>
        <v>7</v>
      </c>
      <c r="AO14" s="123">
        <f>AN14/AN18*10+BA14</f>
        <v>8.75</v>
      </c>
      <c r="AP14" s="123">
        <f>AO14*10000000+BI14*100+AM14/AM18*10+AI14/AI18*1++IF(AQ14=0,ROW(),AQ14)/2000000</f>
        <v>87500009.925020665</v>
      </c>
      <c r="AQ14" s="126">
        <f>VLOOKUP(AE14,db_fifarank,2,FALSE)</f>
        <v>1556.48</v>
      </c>
      <c r="AR14" s="125">
        <f>AP14/AP18</f>
        <v>0.99999998857143002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0</v>
      </c>
      <c r="G15" s="20">
        <v>2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5 - 2</v>
      </c>
      <c r="P15" s="32">
        <f>L15*3+M15</f>
        <v>7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2</v>
      </c>
      <c r="AL15" s="123">
        <f>AI15-AJ15</f>
        <v>1</v>
      </c>
      <c r="AM15" s="123">
        <f>AL15-AL18</f>
        <v>8</v>
      </c>
      <c r="AN15" s="123">
        <f>AF15*3+AG15</f>
        <v>4</v>
      </c>
      <c r="AO15" s="123">
        <f>AN15/AN18*10+BA15</f>
        <v>5</v>
      </c>
      <c r="AP15" s="123">
        <f>AO15*10000000+BI15*100+AM15/AM18*10+AI15/AI18*1++IF(AQ15=0,ROW(),AQ15)/2000000</f>
        <v>50000007.773420192</v>
      </c>
      <c r="AQ15" s="126">
        <f>VLOOKUP(AE15,db_fifarank,2,FALSE)</f>
        <v>1385.84</v>
      </c>
      <c r="AR15" s="125">
        <f>AP15/AP18</f>
        <v>0.57142858892058346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Tunisia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5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4 - 1</v>
      </c>
      <c r="P16" s="34">
        <f>L16*3+M16</f>
        <v>5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7</v>
      </c>
      <c r="AL16" s="123">
        <f>AI16-AJ16</f>
        <v>-7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8.3140561047858881E-12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3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3 - 2</v>
      </c>
      <c r="P17" s="34">
        <f>L17*3+M17</f>
        <v>4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1</v>
      </c>
      <c r="AL17" s="123">
        <f>AI17-AJ17</f>
        <v>3</v>
      </c>
      <c r="AM17" s="123">
        <f>AL17-AL18</f>
        <v>10</v>
      </c>
      <c r="AN17" s="123">
        <f>AF17*3+AG17</f>
        <v>5</v>
      </c>
      <c r="AO17" s="123">
        <f>AN17/AN18*10+BA17</f>
        <v>6.25</v>
      </c>
      <c r="AP17" s="123">
        <f>AO17*10000000+BI17*100+AM17/AM18*10+AI17/AI18*1++IF(AQ17=0,ROW(),AQ17)/2000000</f>
        <v>62500009.758400455</v>
      </c>
      <c r="AQ17" s="126">
        <f>VLOOKUP(AE17,db_fifarank,2,FALSE)</f>
        <v>1649.4</v>
      </c>
      <c r="AR17" s="125">
        <f>AP17/AP18</f>
        <v>0.71428573662644601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0 - 7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6</v>
      </c>
      <c r="AL18" s="123">
        <f>MIN(AL14:AL17)</f>
        <v>-7</v>
      </c>
      <c r="AM18" s="123">
        <f>MAX(AM14:AM17)+1</f>
        <v>11</v>
      </c>
      <c r="AN18" s="123">
        <f>MAX(AN14:AN17)+1</f>
        <v>8</v>
      </c>
      <c r="AO18" s="123">
        <f>MAX(AO14:AO17)+1</f>
        <v>9.75</v>
      </c>
      <c r="AP18" s="123">
        <f>MAX(AP14:AP17)+1</f>
        <v>87500010.925020665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Czech Republic</v>
      </c>
      <c r="BM18" s="61">
        <v>1</v>
      </c>
      <c r="BN18" s="63">
        <v>1</v>
      </c>
      <c r="BO18" s="25">
        <v>5</v>
      </c>
      <c r="BP18" s="112">
        <f>IF(OR(BM18="",BM19="",AND(BN18="",BN19&lt;&gt;""),AND(BN19="",BN18&lt;&gt;""),AND(BO18="",BO19&lt;&gt;""),AND(BO19="",BO18&lt;&gt;"")),"",BM18*1000+BN18*10+BO18)</f>
        <v>1015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3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1</v>
      </c>
      <c r="BN19" s="64">
        <v>1</v>
      </c>
      <c r="BO19" s="27">
        <v>4</v>
      </c>
      <c r="BP19" s="113">
        <f>IF(BP18="","",BM19*1000+BN19*10+BO19)</f>
        <v>1014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5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3</v>
      </c>
      <c r="AL20" s="123">
        <f>AI20-AJ20</f>
        <v>6</v>
      </c>
      <c r="AM20" s="123">
        <f>AL20-AL24</f>
        <v>15</v>
      </c>
      <c r="AN20" s="123">
        <f>AF20*3+AG20</f>
        <v>7</v>
      </c>
      <c r="AO20" s="123">
        <f>AN20/AN24*10+BA20</f>
        <v>9.7306451612903224</v>
      </c>
      <c r="AP20" s="123">
        <f>AO20*10000000+BI20*100+AM20/AM24*10+AI20/AI24*1++IF(AQ20=0,ROW(),AQ20)/2000000</f>
        <v>97306559.95329994</v>
      </c>
      <c r="AQ20" s="126">
        <f>VLOOKUP(AE20,db_fifarank,2,FALSE)</f>
        <v>1761.16</v>
      </c>
      <c r="AR20" s="125">
        <f>AP20/AP24</f>
        <v>0.9999999897232007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2</v>
      </c>
      <c r="AW20" s="126" cm="1">
        <f t="array" ref="AW20">SUMPRODUCT(($E$7:$E$78=AE20)*($U$7:$U$78)*($G$7:$G$78))+SUMPRODUCT(($H$7:$H$78=AE20)*($U$7:$U$78)*($F$7:$F$78))</f>
        <v>2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50.666666666666664</v>
      </c>
      <c r="BA20" s="126">
        <f>AZ20/AZ24</f>
        <v>0.98064516129032253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2</v>
      </c>
      <c r="BE20" s="126" cm="1">
        <f t="array" ref="BE20">SUMPRODUCT(($E$7:$E$78=AE20)*($X$7:$X$78)*($G$7:$G$78))+SUMPRODUCT(($H$7:$H$78=AE20)*($X$7:$X$78)*($F$7:$F$78))</f>
        <v>2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50.666666666666664</v>
      </c>
      <c r="BI20" s="126">
        <f>BH20/BH24</f>
        <v>0.98064516129032253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Czech Republic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0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9 - 3</v>
      </c>
      <c r="P21" s="32">
        <f>L21*3+M21</f>
        <v>7</v>
      </c>
      <c r="R21" s="123">
        <f>DATE(2026,6,15)+TIME(14,0,0)+gmt_delta</f>
        <v>46189.041666666672</v>
      </c>
      <c r="S21" s="127" t="str">
        <f t="shared" si="1"/>
        <v>Iran_lose</v>
      </c>
      <c r="T21" s="127" t="str">
        <f t="shared" si="2"/>
        <v>New Zealand_win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-1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2</v>
      </c>
      <c r="AL21" s="123">
        <f>AI21-AJ21</f>
        <v>5</v>
      </c>
      <c r="AM21" s="123">
        <f>AL21-AL24</f>
        <v>14</v>
      </c>
      <c r="AN21" s="123">
        <f>AF21*3+AG21</f>
        <v>7</v>
      </c>
      <c r="AO21" s="123">
        <f>AN21/AN24*10+BA21</f>
        <v>9.7306451612903224</v>
      </c>
      <c r="AP21" s="123">
        <f>AO21*10000000+BI21*100+AM21/AM24*10+AI21/AI24*1++IF(AQ21=0,ROW(),AQ21)/2000000</f>
        <v>97306559.128297284</v>
      </c>
      <c r="AQ21" s="126">
        <f>VLOOKUP(AE21,db_fifarank,2,FALSE)</f>
        <v>1755.87</v>
      </c>
      <c r="AR21" s="125">
        <f>AP21/AP24</f>
        <v>0.99999998124481393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50.666666666666664</v>
      </c>
      <c r="BA21" s="126">
        <f>AZ21/AZ24</f>
        <v>0.98064516129032253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50.666666666666664</v>
      </c>
      <c r="BI21" s="126">
        <f>BH21/BH24</f>
        <v>0.98064516129032253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7 - 2</v>
      </c>
      <c r="P22" s="34">
        <f>L22*3+M22</f>
        <v>7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9</v>
      </c>
      <c r="AL22" s="123">
        <f>AI22-AJ22</f>
        <v>-9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6.6373222285593189E-12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>
        <v>2</v>
      </c>
      <c r="BO22" s="25"/>
      <c r="BP22" s="116">
        <f>IF(OR(BM22="",BM23="",AND(BN22="",BN23&lt;&gt;""),AND(BN23="",BN22&lt;&gt;""),AND(BO22="",BO23&lt;&gt;""),AND(BO23="",BO22&lt;&gt;"")),"",BM22*1000+BN22*10+BO22)</f>
        <v>1020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3 - 5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5</v>
      </c>
      <c r="AL23" s="123">
        <f>AI23-AJ23</f>
        <v>-2</v>
      </c>
      <c r="AM23" s="123">
        <f>AL23-AL24</f>
        <v>7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37500004.675749175</v>
      </c>
      <c r="AQ23" s="126">
        <f>VLOOKUP(AE23,db_fifarank,2,FALSE)</f>
        <v>1498.35</v>
      </c>
      <c r="AR23" s="125">
        <f>AP23/AP24</f>
        <v>0.38538002276893174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>
        <v>1</v>
      </c>
      <c r="BO23" s="27"/>
      <c r="BP23" s="112">
        <f>IF(BP22="","",BM23*1000+BN23*10+BO23)</f>
        <v>1010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>
        <v>1</v>
      </c>
      <c r="CJ23" s="25">
        <v>6</v>
      </c>
      <c r="CK23" s="112">
        <f>IF(OR(CH23="",CH24="",AND(CI23="",CI24&lt;&gt;""),AND(CI24="",CI23&lt;&gt;""),AND(CJ23="",CJ24&lt;&gt;""),AND(CJ24="",CJ23&lt;&gt;"")),"",CH23*1000+CI23*10+CJ23)</f>
        <v>1016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1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0 - 9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10</v>
      </c>
      <c r="AL24" s="123">
        <f>MIN(AL20:AL23)</f>
        <v>-9</v>
      </c>
      <c r="AM24" s="123">
        <f>MAX(AM20:AM23)+1</f>
        <v>16</v>
      </c>
      <c r="AN24" s="123">
        <f>MAX(AN20:AN23)+1</f>
        <v>8</v>
      </c>
      <c r="AO24" s="123">
        <f>MAX(AO20:AO23)+1</f>
        <v>10.730645161290322</v>
      </c>
      <c r="AP24" s="123">
        <f>MAX(AP20:AP23)+1</f>
        <v>97306560.95329994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51.666666666666664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51.666666666666664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>
        <v>1</v>
      </c>
      <c r="CJ24" s="27">
        <v>5</v>
      </c>
      <c r="CK24" s="113">
        <f>IF(CK23="","",CH24*1000+CI24*10+CJ24)</f>
        <v>1015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4</v>
      </c>
      <c r="AL26" s="123">
        <f>AI26-AJ26</f>
        <v>1</v>
      </c>
      <c r="AM26" s="123">
        <f>AL26-AL30</f>
        <v>4</v>
      </c>
      <c r="AN26" s="123">
        <f>AF26*3+AG26</f>
        <v>5</v>
      </c>
      <c r="AO26" s="123">
        <f>AN26/AN30*10+BA26</f>
        <v>6.25</v>
      </c>
      <c r="AP26" s="123">
        <f>AO26*10000000+BI26*100+AM26/AM30*10+AI26/AI30*1++IF(AQ26=0,ROW(),AQ26)/2000000</f>
        <v>62500005.715122283</v>
      </c>
      <c r="AQ26" s="126">
        <f>VLOOKUP(AE26,db_fifarank,2,FALSE)</f>
        <v>1673.13</v>
      </c>
      <c r="AR26" s="125">
        <f>AP26/AP30</f>
        <v>0.71428569300595213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>
        <v>1</v>
      </c>
      <c r="BO26" s="25">
        <v>4</v>
      </c>
      <c r="BP26" s="112">
        <f>IF(OR(BM26="",BM27="",AND(BN26="",BN27&lt;&gt;""),AND(BN27="",BN26&lt;&gt;""),AND(BO26="",BO27&lt;&gt;""),AND(BO27="",BO26&lt;&gt;"")),"",BM26*1000+BN26*10+BO26)</f>
        <v>1014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6 - 2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1</v>
      </c>
      <c r="W27" s="123">
        <f t="shared" si="4"/>
        <v>1</v>
      </c>
      <c r="X27" s="123">
        <f t="shared" si="9"/>
        <v>1</v>
      </c>
      <c r="Y27" s="123">
        <f t="shared" si="10"/>
        <v>1</v>
      </c>
      <c r="Z27" s="123">
        <f t="shared" si="11"/>
        <v>1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6</v>
      </c>
      <c r="AL27" s="123">
        <f>AI27-AJ27</f>
        <v>-3</v>
      </c>
      <c r="AM27" s="123">
        <f>AL27-AL30</f>
        <v>0</v>
      </c>
      <c r="AN27" s="123">
        <f>AF27*3+AG27</f>
        <v>1</v>
      </c>
      <c r="AO27" s="123">
        <f>AN27/AN30*10+BA27</f>
        <v>1.25</v>
      </c>
      <c r="AP27" s="123">
        <f>AO27*10000000+BI27*100+AM27/AM30*10+AI27/AI30*1++IF(AQ27=0,ROW(),AQ27)/2000000</f>
        <v>12500000.42932318</v>
      </c>
      <c r="AQ27" s="126">
        <f>VLOOKUP(AE27,db_fifarank,2,FALSE)</f>
        <v>1503.5</v>
      </c>
      <c r="AR27" s="125">
        <f>AP27/AP30</f>
        <v>0.14285713044460541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>
        <v>1</v>
      </c>
      <c r="BO27" s="27">
        <v>5</v>
      </c>
      <c r="BP27" s="113">
        <f>IF(BP26="","",BM27*1000+BN27*10+BO27)</f>
        <v>1015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2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5 - 4</v>
      </c>
      <c r="P28" s="34">
        <f>L28*3+M28</f>
        <v>5</v>
      </c>
      <c r="R28" s="123">
        <f>DATE(2026,6,17)+TIME(9,0,0)+gmt_delta</f>
        <v>46190.833333333336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2</v>
      </c>
      <c r="W28" s="123">
        <f t="shared" si="4"/>
        <v>2</v>
      </c>
      <c r="X28" s="123">
        <f t="shared" si="9"/>
        <v>1</v>
      </c>
      <c r="Y28" s="123">
        <f t="shared" si="10"/>
        <v>2</v>
      </c>
      <c r="Z28" s="123">
        <f t="shared" si="11"/>
        <v>2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2</v>
      </c>
      <c r="AH28" s="123">
        <f>COUNTIF($S$7:$T$78,"=" &amp; AE28 &amp; "_lose")</f>
        <v>1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5</v>
      </c>
      <c r="AL28" s="123">
        <f>AI28-AJ28</f>
        <v>-2</v>
      </c>
      <c r="AM28" s="123">
        <f>AL28-AL30</f>
        <v>1</v>
      </c>
      <c r="AN28" s="123">
        <f>AF28*3+AG28</f>
        <v>2</v>
      </c>
      <c r="AO28" s="123">
        <f>AN28/AN30*10+BA28</f>
        <v>2.5</v>
      </c>
      <c r="AP28" s="123">
        <f>AO28*10000000+BI28*100+AM28/AM30*10+AI28/AI30*1++IF(AQ28=0,ROW(),AQ28)/2000000</f>
        <v>25000001.679361764</v>
      </c>
      <c r="AQ28" s="126">
        <f>VLOOKUP(AE28,db_fifarank,2,FALSE)</f>
        <v>1580.67</v>
      </c>
      <c r="AR28" s="125">
        <f>AP28/AP30</f>
        <v>0.2857142702688143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5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3 - 5</v>
      </c>
      <c r="P29" s="34">
        <f>L29*3+M29</f>
        <v>2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2</v>
      </c>
      <c r="AL29" s="123">
        <f>AI29-AJ29</f>
        <v>4</v>
      </c>
      <c r="AM29" s="123">
        <f>AL29-AL30</f>
        <v>7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87500009.607942373</v>
      </c>
      <c r="AQ29" s="126">
        <f>VLOOKUP(AE29,db_fifarank,2,FALSE)</f>
        <v>1599.04</v>
      </c>
      <c r="AR29" s="125">
        <f>AP29/AP30</f>
        <v>0.99999998857142991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3 - 6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3</v>
      </c>
      <c r="AI30" s="123">
        <f>MAX(AI26:AI29)+1</f>
        <v>7</v>
      </c>
      <c r="AL30" s="123">
        <f>MIN(AL26:AL29)</f>
        <v>-3</v>
      </c>
      <c r="AM30" s="123">
        <f>MAX(AM26:AM29)+1</f>
        <v>8</v>
      </c>
      <c r="AN30" s="123">
        <f>MAX(AN26:AN29)+1</f>
        <v>8</v>
      </c>
      <c r="AO30" s="123">
        <f>MAX(AO26:AO29)+1</f>
        <v>9.75</v>
      </c>
      <c r="AP30" s="123">
        <f>MAX(AP26:AP29)+1</f>
        <v>87500010.607942373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0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11</v>
      </c>
      <c r="AJ32" s="123">
        <f>SUMIF($E$7:$E$78,$AE32,$G$7:$G$78) + SUMIF($H$7:$H$78,$AE32,$F$7:$F$78)</f>
        <v>1</v>
      </c>
      <c r="AL32" s="123">
        <f>AI32-AJ32</f>
        <v>10</v>
      </c>
      <c r="AM32" s="123">
        <f>AL32-AL36</f>
        <v>17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90000010.361976311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11 - 1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8</v>
      </c>
      <c r="AL33" s="123">
        <f>AI33-AJ33</f>
        <v>-7</v>
      </c>
      <c r="AM33" s="123">
        <f>AL33-AL36</f>
        <v>0</v>
      </c>
      <c r="AN33" s="123">
        <f>AF33*3+AG33</f>
        <v>1</v>
      </c>
      <c r="AO33" s="123">
        <f>AN33/AN36*10+BA33</f>
        <v>1.9805825242718447</v>
      </c>
      <c r="AP33" s="123">
        <f>AO33*10000000+BI33*100+AM33/AM36*10+AI33/AI36*1++IF(AQ33=0,ROW(),AQ33)/2000000</f>
        <v>19805923.384951532</v>
      </c>
      <c r="AQ33" s="126">
        <f>VLOOKUP(AE33,db_fifarank,2,FALSE)</f>
        <v>1294.6500000000001</v>
      </c>
      <c r="AR33" s="125">
        <f>AP33/AP36</f>
        <v>0.22006578760632517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1</v>
      </c>
      <c r="AV33" s="126" cm="1">
        <f t="array" ref="AV33">SUMPRODUCT(($E$7:$E$78=AE33)*($U$7:$U$78)*($F$7:$F$78))+SUMPRODUCT(($H$7:$H$78=AE33)*($U$7:$U$78)*($G$7:$G$78))</f>
        <v>1</v>
      </c>
      <c r="AW33" s="126" cm="1">
        <f t="array" ref="AW33">SUMPRODUCT(($E$7:$E$78=AE33)*($U$7:$U$78)*($G$7:$G$78))+SUMPRODUCT(($H$7:$H$78=AE33)*($U$7:$U$78)*($F$7:$F$78))</f>
        <v>1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50.5</v>
      </c>
      <c r="BA33" s="126">
        <f>AZ33/AZ36</f>
        <v>0.98058252427184467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1</v>
      </c>
      <c r="BD33" s="126" cm="1">
        <f t="array" ref="BD33">SUMPRODUCT(($E$7:$E$78=AE33)*($X$7:$X$78)*($F$7:$F$78))+SUMPRODUCT(($H$7:$H$78=AE33)*($X$7:$X$78)*($G$7:$G$78))</f>
        <v>1</v>
      </c>
      <c r="BE33" s="126" cm="1">
        <f t="array" ref="BE33">SUMPRODUCT(($E$7:$E$78=AE33)*($X$7:$X$78)*($G$7:$G$78))+SUMPRODUCT(($H$7:$H$78=AE33)*($X$7:$X$78)*($F$7:$F$78))</f>
        <v>1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50.5</v>
      </c>
      <c r="BI33" s="126">
        <f>BH33/BH36</f>
        <v>0.98058252427184467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5 - 3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1</v>
      </c>
      <c r="AH34" s="123">
        <f>COUNTIF($S$7:$T$78,"=" &amp; AE34 &amp; "_lose")</f>
        <v>2</v>
      </c>
      <c r="AI34" s="123">
        <f>SUMIF($E$7:$E$78,$AE34,$F$7:$F$78) + SUMIF($H$7:$H$78,$AE34,$G$7:$G$78)</f>
        <v>1</v>
      </c>
      <c r="AJ34" s="123">
        <f>SUMIF($E$7:$E$78,$AE34,$G$7:$G$78) + SUMIF($H$7:$H$78,$AE34,$F$7:$F$78)</f>
        <v>6</v>
      </c>
      <c r="AL34" s="123">
        <f>AI34-AJ34</f>
        <v>-5</v>
      </c>
      <c r="AM34" s="123">
        <f>AL34-AL36</f>
        <v>2</v>
      </c>
      <c r="AN34" s="123">
        <f>AF34*3+AG34</f>
        <v>1</v>
      </c>
      <c r="AO34" s="123">
        <f>AN34/AN36*10+BA34</f>
        <v>1.9805825242718447</v>
      </c>
      <c r="AP34" s="123">
        <f>AO34*10000000+BI34*100+AM34/AM36*10+AI34/AI36*1++IF(AQ34=0,ROW(),AQ34)/2000000</f>
        <v>19805924.496181808</v>
      </c>
      <c r="AQ34" s="126">
        <f>VLOOKUP(AE34,db_fifarank,2,FALSE)</f>
        <v>1532.98</v>
      </c>
      <c r="AR34" s="125">
        <f>AP34/AP36</f>
        <v>0.2200657999533267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1</v>
      </c>
      <c r="N35" s="23">
        <f>VLOOKUP(3,AD32:AN35,5,FALSE)</f>
        <v>2</v>
      </c>
      <c r="O35" s="23" t="str">
        <f>VLOOKUP(3,AD32:AN35,6,FALSE) &amp; " - " &amp; VLOOKUP(3,AD32:AN35,7,FALSE)</f>
        <v>1 - 6</v>
      </c>
      <c r="P35" s="34">
        <f>L35*3+M35</f>
        <v>1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3</v>
      </c>
      <c r="AL35" s="123">
        <f>AI35-AJ35</f>
        <v>2</v>
      </c>
      <c r="AM35" s="123">
        <f>AL35-AL36</f>
        <v>9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60000005.417464055</v>
      </c>
      <c r="AQ35" s="126">
        <f>VLOOKUP(AE35,db_fifarank,2,FALSE)</f>
        <v>1594.78</v>
      </c>
      <c r="AR35" s="125">
        <f>AP35/AP36</f>
        <v>0.6666666426979273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Bosnia and Herzegovina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1 - 8</v>
      </c>
      <c r="P36" s="37">
        <f>L36*3+M36</f>
        <v>1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3</v>
      </c>
      <c r="AI36" s="123">
        <f>MAX(AI32:AI35)+1</f>
        <v>12</v>
      </c>
      <c r="AL36" s="123">
        <f>MIN(AL32:AL35)</f>
        <v>-7</v>
      </c>
      <c r="AM36" s="123">
        <f>MAX(AM32:AM35)+1</f>
        <v>18</v>
      </c>
      <c r="AN36" s="123">
        <f>MAX(AN32:AN35)+1</f>
        <v>10</v>
      </c>
      <c r="AO36" s="123">
        <f>MAX(AO32:AO35)+1</f>
        <v>10</v>
      </c>
      <c r="AP36" s="123">
        <f>MAX(AP32:AP35)+1</f>
        <v>90000011.361976311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2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2000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1</v>
      </c>
      <c r="G37" s="20">
        <v>1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1</v>
      </c>
      <c r="CP37" s="63">
        <v>2</v>
      </c>
      <c r="CQ37" s="25"/>
      <c r="CR37" s="111">
        <f>IF(OR(CO37="",CO38="",AND(CP37="",CP38&lt;&gt;""),AND(CP38="",CP37&lt;&gt;""),AND(CQ37="",CQ38&lt;&gt;""),AND(CQ38="",CQ37&lt;&gt;"")),"",CO37*1000+CP37*10+CQ37)</f>
        <v>1020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2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8</v>
      </c>
      <c r="AJ38" s="123">
        <f>SUMIF($E$7:$E$78,$AE38,$G$7:$G$78) + SUMIF($H$7:$H$78,$AE38,$F$7:$F$78)</f>
        <v>3</v>
      </c>
      <c r="AL38" s="123">
        <f>AI38-AJ38</f>
        <v>5</v>
      </c>
      <c r="AM38" s="123">
        <f>AL38-AL42</f>
        <v>8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90000009.778656721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3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3000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1</v>
      </c>
      <c r="CP38" s="64">
        <v>1</v>
      </c>
      <c r="CQ38" s="27"/>
      <c r="CR38" s="111">
        <f>IF(CR37="","",CO38*1000+CP38*10+CQ38)</f>
        <v>1010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3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8 - 3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5</v>
      </c>
      <c r="AL39" s="123">
        <f>AI39-AJ39</f>
        <v>-1</v>
      </c>
      <c r="AM39" s="123">
        <f>AL39-AL42</f>
        <v>2</v>
      </c>
      <c r="AN39" s="123">
        <f>AF39*3+AG39</f>
        <v>4</v>
      </c>
      <c r="AO39" s="123">
        <f>AN39/AN42*10+BA39</f>
        <v>4</v>
      </c>
      <c r="AP39" s="123">
        <f>AO39*10000000+BI39*100+AM39/AM42*10+AI39/AI42*1++IF(AQ39=0,ROW(),AQ39)/2000000</f>
        <v>40000002.66749689</v>
      </c>
      <c r="AQ39" s="126">
        <f>VLOOKUP(AE39,db_fifarank,2,FALSE)</f>
        <v>1660.43</v>
      </c>
      <c r="AR39" s="125">
        <f>AP39/AP42</f>
        <v>0.44444442085536717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Korea Republic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4 - 5</v>
      </c>
      <c r="P40" s="34">
        <f>L40*3+M40</f>
        <v>4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6</v>
      </c>
      <c r="AL40" s="123">
        <f>AI40-AJ40</f>
        <v>-3</v>
      </c>
      <c r="AM40" s="123">
        <f>AL40-AL42</f>
        <v>0</v>
      </c>
      <c r="AN40" s="123">
        <f>AF40*3+AG40</f>
        <v>1</v>
      </c>
      <c r="AO40" s="123">
        <f>AN40/AN42*10+BA40</f>
        <v>1</v>
      </c>
      <c r="AP40" s="123">
        <f>AO40*10000000+BI40*100+AM40/AM42*10+AI40/AI42*1++IF(AQ40=0,ROW(),AQ40)/2000000</f>
        <v>10000000.334090719</v>
      </c>
      <c r="AQ40" s="126">
        <f>VLOOKUP(AE40,db_fifarank,2,FALSE)</f>
        <v>1514.77</v>
      </c>
      <c r="AR40" s="125">
        <f>AP40/AP42</f>
        <v>0.11111110151624776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3</v>
      </c>
      <c r="G41" s="20">
        <v>1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3 - 4</v>
      </c>
      <c r="P41" s="34">
        <f>L41*3+M41</f>
        <v>2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2</v>
      </c>
      <c r="AH41" s="123">
        <f>COUNTIF($S$7:$T$78,"=" &amp; AE41 &amp; "_lose")</f>
        <v>1</v>
      </c>
      <c r="AI41" s="123">
        <f>SUMIF($E$7:$E$78,$AE41,$F$7:$F$78) + SUMIF($H$7:$H$78,$AE41,$G$7:$G$78)</f>
        <v>3</v>
      </c>
      <c r="AJ41" s="123">
        <f>SUMIF($E$7:$E$78,$AE41,$G$7:$G$78) + SUMIF($H$7:$H$78,$AE41,$F$7:$F$78)</f>
        <v>4</v>
      </c>
      <c r="AL41" s="123">
        <f>AI41-AJ41</f>
        <v>-1</v>
      </c>
      <c r="AM41" s="123">
        <f>AL41-AL42</f>
        <v>2</v>
      </c>
      <c r="AN41" s="123">
        <f>AF41*3+AG41</f>
        <v>2</v>
      </c>
      <c r="AO41" s="123">
        <f>AN41/AN42*10+BA41</f>
        <v>2</v>
      </c>
      <c r="AP41" s="123">
        <f>AO41*10000000+BI41*100+AM41/AM42*10+AI41/AI42*1++IF(AQ41=0,ROW(),AQ41)/2000000</f>
        <v>20000002.556297082</v>
      </c>
      <c r="AQ41" s="126">
        <f>VLOOKUP(AE41,db_fifarank,2,FALSE)</f>
        <v>1483.05</v>
      </c>
      <c r="AR41" s="125">
        <f>AP41/AP42</f>
        <v>0.22222222401155572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3 - 6</v>
      </c>
      <c r="P42" s="37">
        <f>L42*3+M42</f>
        <v>1</v>
      </c>
      <c r="R42" s="123">
        <f>DATE(2026,6,20)+TIME(17,0,0)+gmt_delta</f>
        <v>46194.166666666672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4</v>
      </c>
      <c r="AG42" s="123">
        <f t="shared" si="18"/>
        <v>3</v>
      </c>
      <c r="AH42" s="123">
        <f t="shared" si="18"/>
        <v>3</v>
      </c>
      <c r="AI42" s="123">
        <f>MAX(AI38:AI41)+1</f>
        <v>9</v>
      </c>
      <c r="AL42" s="123">
        <f>MIN(AL38:AL41)</f>
        <v>-3</v>
      </c>
      <c r="AM42" s="123">
        <f>MAX(AM38:AM41)+1</f>
        <v>9</v>
      </c>
      <c r="AN42" s="123">
        <f>MAX(AN38:AN41)+1</f>
        <v>10</v>
      </c>
      <c r="AO42" s="123">
        <f>MAX(AO38:AO41)+1</f>
        <v>10</v>
      </c>
      <c r="AP42" s="123">
        <f>MAX(AP38:AP41)+1</f>
        <v>90000010.778656721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4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0</v>
      </c>
      <c r="AL44" s="123">
        <f>AI44-AJ44</f>
        <v>7</v>
      </c>
      <c r="AM44" s="123">
        <f>AL44-AL48</f>
        <v>14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90000010.20920068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>
        <v>3</v>
      </c>
      <c r="BV44" s="25"/>
      <c r="BW44" s="112">
        <f>IF(OR(BT44="",BT45="",AND(BU44="",BU45&lt;&gt;""),AND(BU45="",BU44&lt;&gt;""),AND(BV44="",BV45&lt;&gt;""),AND(BV45="",BV44&lt;&gt;"")),"",BT44*1000+BU44*10+BV44)</f>
        <v>2030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3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7 - 0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3</v>
      </c>
      <c r="AL45" s="123">
        <f>AI45-AJ45</f>
        <v>1</v>
      </c>
      <c r="AM45" s="123">
        <f>AL45-AL48</f>
        <v>8</v>
      </c>
      <c r="AN45" s="123">
        <f>AF45*3+AG45</f>
        <v>4</v>
      </c>
      <c r="AO45" s="123">
        <f>AN45/AN48*10+BA45</f>
        <v>4.9805825242718447</v>
      </c>
      <c r="AP45" s="123">
        <f>AO45*10000000+BI45*100+AM45/AM48*10+AI45/AI48*1++IF(AQ45=0,ROW(),AQ45)/2000000</f>
        <v>49805929.135085821</v>
      </c>
      <c r="AQ45" s="126">
        <f>VLOOKUP(AE45,db_fifarank,2,FALSE)</f>
        <v>1563.24</v>
      </c>
      <c r="AR45" s="125">
        <f>AP45/AP48</f>
        <v>0.55339914368804177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50.5</v>
      </c>
      <c r="BA45" s="126">
        <f>AZ45/AZ48</f>
        <v>0.98058252427184467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50.5</v>
      </c>
      <c r="BI45" s="126">
        <f>BH45/BH48</f>
        <v>0.98058252427184467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Senegal</v>
      </c>
      <c r="BT45" s="62">
        <v>2</v>
      </c>
      <c r="BU45" s="64">
        <v>2</v>
      </c>
      <c r="BV45" s="27"/>
      <c r="BW45" s="113">
        <f>IF(BW44="","",BT45*1000+BU45*10+BV45)</f>
        <v>2020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1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4 - 3</v>
      </c>
      <c r="P46" s="34">
        <f>L46*3+M46</f>
        <v>4</v>
      </c>
      <c r="R46" s="123">
        <f>DATE(2026,6,21)+TIME(14,0,0)+gmt_delta</f>
        <v>46195.041666666672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1</v>
      </c>
      <c r="V46" s="123">
        <f t="shared" si="3"/>
        <v>1</v>
      </c>
      <c r="W46" s="123">
        <f t="shared" si="4"/>
        <v>1</v>
      </c>
      <c r="X46" s="123">
        <f t="shared" si="9"/>
        <v>1</v>
      </c>
      <c r="Y46" s="123">
        <f t="shared" si="10"/>
        <v>1</v>
      </c>
      <c r="Z46" s="123">
        <f t="shared" si="11"/>
        <v>1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0</v>
      </c>
      <c r="AH46" s="123">
        <f>COUNTIF($S$7:$T$78,"=" &amp; AE46 &amp; "_lose")</f>
        <v>3</v>
      </c>
      <c r="AI46" s="123">
        <f>SUMIF($E$7:$E$78,$AE46,$F$7:$F$78) + SUMIF($H$7:$H$78,$AE46,$G$7:$G$78)</f>
        <v>0</v>
      </c>
      <c r="AJ46" s="123">
        <f>SUMIF($E$7:$E$78,$AE46,$G$7:$G$78) + SUMIF($H$7:$H$78,$AE46,$F$7:$F$78)</f>
        <v>7</v>
      </c>
      <c r="AL46" s="123">
        <f>AI46-AJ46</f>
        <v>-7</v>
      </c>
      <c r="AM46" s="123">
        <f>AL46-AL48</f>
        <v>0</v>
      </c>
      <c r="AN46" s="123">
        <f>AF46*3+AG46</f>
        <v>0</v>
      </c>
      <c r="AO46" s="123">
        <f>AN46/AN48*10+BA46</f>
        <v>0</v>
      </c>
      <c r="AP46" s="123">
        <f>AO46*10000000+BI46*100+AM46/AM48*10+AI46/AI48*1++IF(AQ46=0,ROW(),AQ46)/2000000</f>
        <v>8.0764999999999993E-4</v>
      </c>
      <c r="AQ46" s="126">
        <f>VLOOKUP(AE46,db_fifarank,2,FALSE)</f>
        <v>1615.3</v>
      </c>
      <c r="AR46" s="125">
        <f>AP46/AP48</f>
        <v>8.973887771221011E-12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2 - 3</v>
      </c>
      <c r="P47" s="34">
        <f>L47*3+M47</f>
        <v>4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1</v>
      </c>
      <c r="AG47" s="123">
        <f>COUNTIF($S$7:$T$78,"=" &amp; AE47 &amp; "_draw")</f>
        <v>1</v>
      </c>
      <c r="AH47" s="123">
        <f>COUNTIF($S$7:$T$78,"=" &amp; AE47 &amp; "_lose")</f>
        <v>1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3</v>
      </c>
      <c r="AL47" s="123">
        <f>AI47-AJ47</f>
        <v>-1</v>
      </c>
      <c r="AM47" s="123">
        <f>AL47-AL48</f>
        <v>6</v>
      </c>
      <c r="AN47" s="123">
        <f>AF47*3+AG47</f>
        <v>4</v>
      </c>
      <c r="AO47" s="123">
        <f>AN47/AN48*10+BA47</f>
        <v>4.9805825242718447</v>
      </c>
      <c r="AP47" s="123">
        <f>AO47*10000000+BI47*100+AM47/AM48*10+AI47/AI48*1++IF(AQ47=0,ROW(),AQ47)/2000000</f>
        <v>49805927.551611654</v>
      </c>
      <c r="AQ47" s="126">
        <f>VLOOKUP(AE47,db_fifarank,2,FALSE)</f>
        <v>1281.57</v>
      </c>
      <c r="AR47" s="125">
        <f>AP47/AP48</f>
        <v>0.55339912609388664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1</v>
      </c>
      <c r="AW47" s="126" cm="1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50.5</v>
      </c>
      <c r="BA47" s="126">
        <f>AZ47/AZ48</f>
        <v>0.98058252427184467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1</v>
      </c>
      <c r="BE47" s="126" cm="1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50.5</v>
      </c>
      <c r="BI47" s="126">
        <f>BH47/BH48</f>
        <v>0.98058252427184467</v>
      </c>
      <c r="BK47" s="132"/>
      <c r="BL47" s="26" t="str">
        <f>AS57</f>
        <v>Senegal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0 - 7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4</v>
      </c>
      <c r="AI48" s="123">
        <f>MAX(AI44:AI47)+1</f>
        <v>8</v>
      </c>
      <c r="AL48" s="123">
        <f>MIN(AL44:AL47)</f>
        <v>-7</v>
      </c>
      <c r="AM48" s="123">
        <f>MAX(AM44:AM47)+1</f>
        <v>15</v>
      </c>
      <c r="AN48" s="123">
        <f>MAX(AN44:AN47)+1</f>
        <v>10</v>
      </c>
      <c r="AO48" s="123">
        <f>MAX(AO44:AO47)+1</f>
        <v>10</v>
      </c>
      <c r="AP48" s="123">
        <f>MAX(AP44:AP47)+1</f>
        <v>90000011.20920068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2</v>
      </c>
      <c r="CB48" s="63">
        <v>3</v>
      </c>
      <c r="CC48" s="25"/>
      <c r="CD48" s="112">
        <f>IF(OR(CA48="",CA49="",AND(CB48="",CB49&lt;&gt;""),AND(CB49="",CB48&lt;&gt;""),AND(CC48="",CC49&lt;&gt;""),AND(CC49="",CC48&lt;&gt;"")),"",CA48*1000+CB48*10+CC48)</f>
        <v>2030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3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3000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3</v>
      </c>
      <c r="G49" s="20">
        <v>0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2</v>
      </c>
      <c r="CB49" s="64">
        <v>2</v>
      </c>
      <c r="CC49" s="27"/>
      <c r="CD49" s="113">
        <f>IF(CD48="","",CA49*1000+CB49*10+CC49)</f>
        <v>2020</v>
      </c>
      <c r="CK49" s="114"/>
      <c r="CL49" s="115"/>
      <c r="CM49" s="132"/>
      <c r="CN49" s="26" t="str">
        <f>IF(CK55&gt;CK56,CG56,IF(CK55&lt;CK56,CG55,""))</f>
        <v>Argentina</v>
      </c>
      <c r="CO49" s="62">
        <v>2</v>
      </c>
      <c r="CP49" s="64"/>
      <c r="CQ49" s="27"/>
      <c r="CR49" s="111">
        <f>IF(CR48="","",CO49*1000+CP49*10+CQ49)</f>
        <v>2000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11</v>
      </c>
      <c r="AJ50" s="123">
        <f>SUMIF($E$7:$E$78,$AE50,$G$7:$G$78) + SUMIF($H$7:$H$78,$AE50,$F$7:$F$78)</f>
        <v>2</v>
      </c>
      <c r="AL50" s="123">
        <f>AI50-AJ50</f>
        <v>9</v>
      </c>
      <c r="AM50" s="123">
        <f>AL50-AL54</f>
        <v>17</v>
      </c>
      <c r="AN50" s="123">
        <f>AF50*3+AG50</f>
        <v>7</v>
      </c>
      <c r="AO50" s="123">
        <f>AN50/AN54*10+BA50</f>
        <v>9.7401960784313726</v>
      </c>
      <c r="AP50" s="123">
        <f>AO50*10000000+BI50*100+AM50/AM54*10+AI50/AI54*1++IF(AQ50=0,ROW(),AQ50)/2000000</f>
        <v>97402070.165970892</v>
      </c>
      <c r="AQ50" s="126">
        <f>VLOOKUP(AE50,db_fifarank,2,FALSE)</f>
        <v>1876.4</v>
      </c>
      <c r="AR50" s="125">
        <f>AP50/AP54</f>
        <v>0.99999998973327786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2</v>
      </c>
      <c r="AW50" s="126" cm="1">
        <f t="array" ref="AW50">SUMPRODUCT(($E$7:$E$78=AE50)*($U$7:$U$78)*($G$7:$G$78))+SUMPRODUCT(($H$7:$H$78=AE50)*($U$7:$U$78)*($F$7:$F$78))</f>
        <v>2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101</v>
      </c>
      <c r="BA50" s="126">
        <f>AZ50/AZ54</f>
        <v>0.99019607843137258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2</v>
      </c>
      <c r="BE50" s="126" cm="1">
        <f t="array" ref="BE50">SUMPRODUCT(($E$7:$E$78=AE50)*($X$7:$X$78)*($G$7:$G$78))+SUMPRODUCT(($H$7:$H$78=AE50)*($X$7:$X$78)*($F$7:$F$78))</f>
        <v>2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101</v>
      </c>
      <c r="BI50" s="126">
        <f>BH50/BH54</f>
        <v>0.99019607843137258</v>
      </c>
      <c r="BK50" s="13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11 - 2</v>
      </c>
      <c r="P51" s="32">
        <f>L51*3+M51</f>
        <v>7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9</v>
      </c>
      <c r="AL51" s="123">
        <f>AI51-AJ51</f>
        <v>-8</v>
      </c>
      <c r="AM51" s="123">
        <f>AL51-AL54</f>
        <v>0</v>
      </c>
      <c r="AN51" s="123">
        <f>AF51*3+AG51</f>
        <v>1</v>
      </c>
      <c r="AO51" s="123">
        <f>AN51/AN54*10+BA51</f>
        <v>2.2352941176470589</v>
      </c>
      <c r="AP51" s="123">
        <f>AO51*10000000+BI51*100+AM51/AM54*10+AI51/AI54*1++IF(AQ51=0,ROW(),AQ51)/2000000</f>
        <v>22353039.789898749</v>
      </c>
      <c r="AQ51" s="126">
        <f>VLOOKUP(AE51,db_fifarank,2,FALSE)</f>
        <v>1366.13</v>
      </c>
      <c r="AR51" s="125">
        <f>AP51/AP54</f>
        <v>0.22949244838756747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100.5</v>
      </c>
      <c r="BA51" s="126">
        <f>AZ51/AZ54</f>
        <v>0.98529411764705888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100.5</v>
      </c>
      <c r="BI51" s="126">
        <f>BH51/BH54</f>
        <v>0.98529411764705888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1</v>
      </c>
      <c r="G52" s="20">
        <v>4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8 - 2</v>
      </c>
      <c r="P52" s="34">
        <f>L52*3+M52</f>
        <v>7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8</v>
      </c>
      <c r="AL52" s="123">
        <f>AI52-AJ52</f>
        <v>-7</v>
      </c>
      <c r="AM52" s="123">
        <f>AL52-AL54</f>
        <v>1</v>
      </c>
      <c r="AN52" s="123">
        <f>AF52*3+AG52</f>
        <v>1</v>
      </c>
      <c r="AO52" s="123">
        <f>AN52/AN54*10+BA52</f>
        <v>2.2352941176470589</v>
      </c>
      <c r="AP52" s="123">
        <f>AO52*10000000+BI52*100+AM52/AM54*10+AI52/AI54*1++IF(AQ52=0,ROW(),AQ52)/2000000</f>
        <v>22353040.345481955</v>
      </c>
      <c r="AQ52" s="126">
        <f>VLOOKUP(AE52,db_fifarank,2,FALSE)</f>
        <v>1421.43</v>
      </c>
      <c r="AR52" s="125">
        <f>AP52/AP54</f>
        <v>0.22949245409158586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100.5</v>
      </c>
      <c r="BA52" s="126">
        <f>AZ52/AZ54</f>
        <v>0.98529411764705888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100.5</v>
      </c>
      <c r="BI52" s="126">
        <f>BH52/BH54</f>
        <v>0.98529411764705888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2</v>
      </c>
      <c r="BU52" s="63">
        <v>2</v>
      </c>
      <c r="BV52" s="25">
        <v>5</v>
      </c>
      <c r="BW52" s="116">
        <f>IF(OR(BT52="",BT53="",AND(BU52="",BU53&lt;&gt;""),AND(BU53="",BU52&lt;&gt;""),AND(BV52="",BV53&lt;&gt;""),AND(BV53="",BV52&lt;&gt;"")),"",BT52*1000+BU52*10+BV52)</f>
        <v>2025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1 - 8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8</v>
      </c>
      <c r="AJ53" s="123">
        <f>SUMIF($E$7:$E$78,$AE53,$G$7:$G$78) + SUMIF($H$7:$H$78,$AE53,$F$7:$F$78)</f>
        <v>2</v>
      </c>
      <c r="AL53" s="123">
        <f>AI53-AJ53</f>
        <v>6</v>
      </c>
      <c r="AM53" s="123">
        <f>AL53-AL54</f>
        <v>14</v>
      </c>
      <c r="AN53" s="123">
        <f>AF53*3+AG53</f>
        <v>7</v>
      </c>
      <c r="AO53" s="123">
        <f>AN53/AN54*10+BA53</f>
        <v>9.7401960784313726</v>
      </c>
      <c r="AP53" s="123">
        <f>AO53*10000000+BI53*100+AM53/AM54*10+AI53/AI54*1++IF(AQ53=0,ROW(),AQ53)/2000000</f>
        <v>97402068.249202549</v>
      </c>
      <c r="AQ53" s="126">
        <f>VLOOKUP(AE53,db_fifarank,2,FALSE)</f>
        <v>1673.07</v>
      </c>
      <c r="AR53" s="125">
        <f>AP53/AP54</f>
        <v>0.99999997005434993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2</v>
      </c>
      <c r="AW53" s="126" cm="1">
        <f t="array" ref="AW53">SUMPRODUCT(($E$7:$E$78=AE53)*($U$7:$U$78)*($G$7:$G$78))+SUMPRODUCT(($H$7:$H$78=AE53)*($U$7:$U$78)*($F$7:$F$78))</f>
        <v>2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101</v>
      </c>
      <c r="BA53" s="126">
        <f>AZ53/AZ54</f>
        <v>0.99019607843137258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2</v>
      </c>
      <c r="BE53" s="126" cm="1">
        <f t="array" ref="BE53">SUMPRODUCT(($E$7:$E$78=AE53)*($X$7:$X$78)*($G$7:$G$78))+SUMPRODUCT(($H$7:$H$78=AE53)*($X$7:$X$78)*($F$7:$F$78))</f>
        <v>2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101</v>
      </c>
      <c r="BI53" s="126">
        <f>BH53/BH54</f>
        <v>0.99019607843137258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England</v>
      </c>
      <c r="BT53" s="62">
        <v>2</v>
      </c>
      <c r="BU53" s="64">
        <v>2</v>
      </c>
      <c r="BV53" s="27">
        <v>6</v>
      </c>
      <c r="BW53" s="112">
        <f>IF(BW52="","",BT53*1000+BU53*10+BV53)</f>
        <v>2026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3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1 - 9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1</v>
      </c>
      <c r="AH54" s="123">
        <f t="shared" si="25"/>
        <v>3</v>
      </c>
      <c r="AI54" s="123">
        <f>MAX(AI50:AI53)+1</f>
        <v>12</v>
      </c>
      <c r="AL54" s="123">
        <f>MIN(AL50:AL53)</f>
        <v>-8</v>
      </c>
      <c r="AM54" s="123">
        <f>MAX(AM50:AM53)+1</f>
        <v>18</v>
      </c>
      <c r="AN54" s="123">
        <f>MAX(AN50:AN53)+1</f>
        <v>8</v>
      </c>
      <c r="AO54" s="123">
        <f>MAX(AO50:AO53)+1</f>
        <v>10.740196078431373</v>
      </c>
      <c r="AP54" s="123">
        <f>MAX(AP50:AP53)+1</f>
        <v>97402071.165970892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102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102</v>
      </c>
      <c r="BK54" s="13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Algeria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2</v>
      </c>
      <c r="CI55" s="63">
        <v>2</v>
      </c>
      <c r="CJ55" s="25">
        <v>5</v>
      </c>
      <c r="CK55" s="116">
        <f>IF(OR(CH55="",CH56="",AND(CI55="",CI56&lt;&gt;""),AND(CI56="",CI55&lt;&gt;""),AND(CJ55="",CJ56&lt;&gt;""),AND(CJ56="",CJ55&lt;&gt;"")),"",CH55*1000+CI55*10+CJ55)</f>
        <v>2025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2</v>
      </c>
      <c r="AL56" s="123">
        <f>AI56-AJ56</f>
        <v>7</v>
      </c>
      <c r="AM56" s="123">
        <f>AL56-AL60</f>
        <v>14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90000010.234271988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2</v>
      </c>
      <c r="CI56" s="64">
        <v>2</v>
      </c>
      <c r="CJ56" s="27">
        <v>4</v>
      </c>
      <c r="CK56" s="112">
        <f>IF(CK55="","",CH56*1000+CI56*10+CJ56)</f>
        <v>2024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9 - 2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3</v>
      </c>
      <c r="AL57" s="123">
        <f>AI57-AJ57</f>
        <v>2</v>
      </c>
      <c r="AM57" s="123">
        <f>AL57-AL60</f>
        <v>9</v>
      </c>
      <c r="AN57" s="123">
        <f>AF57*3+AG57</f>
        <v>6</v>
      </c>
      <c r="AO57" s="123">
        <f>AN57/AN60*10+BA57</f>
        <v>6</v>
      </c>
      <c r="AP57" s="123">
        <f>AO57*10000000+BI57*100+AM57/AM60*10+AI57/AI60*1++IF(AQ57=0,ROW(),AQ57)/2000000</f>
        <v>60000006.500844494</v>
      </c>
      <c r="AQ57" s="126">
        <f>VLOOKUP(AE57,db_fifarank,2,FALSE)</f>
        <v>1688.99</v>
      </c>
      <c r="AR57" s="125">
        <f>AP57/AP60</f>
        <v>0.66666665568144401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5 - 3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8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0.10072357000000001</v>
      </c>
      <c r="AQ58" s="126">
        <f>VLOOKUP(AE58,db_fifarank,2,FALSE)</f>
        <v>1447.14</v>
      </c>
      <c r="AR58" s="125">
        <f>AP58/AP60</f>
        <v>1.119150638079526E-9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>
        <v>2</v>
      </c>
      <c r="BO58" s="25">
        <v>5</v>
      </c>
      <c r="BP58" s="112">
        <f>IF(OR(BM58="",BM59="",AND(BN58="",BN59&lt;&gt;""),AND(BN59="",BN58&lt;&gt;""),AND(BO58="",BO59&lt;&gt;""),AND(BO59="",BO58&lt;&gt;"")),"",BM58*1000+BN58*10+BO58)</f>
        <v>2025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0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4 - 6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6</v>
      </c>
      <c r="AL59" s="123">
        <f>AI59-AJ59</f>
        <v>-2</v>
      </c>
      <c r="AM59" s="123">
        <f>AL59-AL60</f>
        <v>5</v>
      </c>
      <c r="AN59" s="123">
        <f>AF59*3+AG59</f>
        <v>3</v>
      </c>
      <c r="AO59" s="123">
        <f>AN59/AN60*10+BA59</f>
        <v>3</v>
      </c>
      <c r="AP59" s="123">
        <f>AO59*10000000+BI59*100+AM59/AM60*10+AI59/AI60*1++IF(AQ59=0,ROW(),AQ59)/2000000</f>
        <v>30000003.734108802</v>
      </c>
      <c r="AQ59" s="126">
        <f>VLOOKUP(AE59,db_fifarank,2,FALSE)</f>
        <v>1550.94</v>
      </c>
      <c r="AR59" s="125">
        <f>AP59/AP60</f>
        <v>0.3333333332150164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2</v>
      </c>
      <c r="BN59" s="64">
        <v>2</v>
      </c>
      <c r="BO59" s="27">
        <v>4</v>
      </c>
      <c r="BP59" s="113">
        <f>IF(BP58="","",BM59*1000+BN59*10+BO59)</f>
        <v>2024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1 - 8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10</v>
      </c>
      <c r="AL60" s="123">
        <f>MIN(AL56:AL59)</f>
        <v>-7</v>
      </c>
      <c r="AM60" s="123">
        <f>MAX(AM56:AM59)+1</f>
        <v>15</v>
      </c>
      <c r="AN60" s="123">
        <f>MAX(AN56:AN59)+1</f>
        <v>10</v>
      </c>
      <c r="AO60" s="123">
        <f>MAX(AO56:AO59)+1</f>
        <v>10</v>
      </c>
      <c r="AP60" s="123">
        <f>MAX(AP56:AP59)+1</f>
        <v>90000011.234271988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1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1</v>
      </c>
      <c r="V61" s="123">
        <f t="shared" si="21"/>
        <v>1</v>
      </c>
      <c r="W61" s="123">
        <f t="shared" si="22"/>
        <v>1</v>
      </c>
      <c r="X61" s="123">
        <f t="shared" si="9"/>
        <v>1</v>
      </c>
      <c r="Y61" s="123">
        <f t="shared" si="10"/>
        <v>1</v>
      </c>
      <c r="Z61" s="123">
        <f t="shared" si="11"/>
        <v>1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United States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1</v>
      </c>
      <c r="AL62" s="123">
        <f>AI62-AJ62</f>
        <v>7</v>
      </c>
      <c r="AM62" s="123">
        <f>AL62-AL66</f>
        <v>11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90000010.056492984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1</v>
      </c>
      <c r="BN62" s="63">
        <v>2</v>
      </c>
      <c r="BO62" s="25"/>
      <c r="BP62" s="116">
        <f>IF(OR(BM62="",BM63="",AND(BN62="",BN63&lt;&gt;""),AND(BN63="",BN62&lt;&gt;""),AND(BO62="",BO63&lt;&gt;""),AND(BO63="",BO62&lt;&gt;"")),"",BM62*1000+BN62*10+BO62)</f>
        <v>1020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8 - 1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4</v>
      </c>
      <c r="AL63" s="123">
        <f>AI63-AJ63</f>
        <v>-2</v>
      </c>
      <c r="AM63" s="123">
        <f>AL63-AL66</f>
        <v>2</v>
      </c>
      <c r="AN63" s="123">
        <f>AF63*3+AG63</f>
        <v>2</v>
      </c>
      <c r="AO63" s="123">
        <f>AN63/AN66*10+BA63</f>
        <v>2</v>
      </c>
      <c r="AP63" s="123">
        <f>AO63*10000000+BI63*100+AM63/AM66*10+AI63/AI66*1++IF(AQ63=0,ROW(),AQ63)/2000000</f>
        <v>20000001.88967102</v>
      </c>
      <c r="AQ63" s="126">
        <f>VLOOKUP(AE63,db_fifarank,2,FALSE)</f>
        <v>1564.26</v>
      </c>
      <c r="AR63" s="125">
        <f>AP63/AP66</f>
        <v>0.22222221591858499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1</v>
      </c>
      <c r="BN63" s="64">
        <v>1</v>
      </c>
      <c r="BO63" s="27"/>
      <c r="BP63" s="112">
        <f>IF(BP62="","",BM63*1000+BN63*10+BO63)</f>
        <v>1010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3 - 4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4</v>
      </c>
      <c r="AL64" s="123">
        <f>AI64-AJ64</f>
        <v>-1</v>
      </c>
      <c r="AM64" s="123">
        <f>AL64-AL66</f>
        <v>3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40000002.834130064</v>
      </c>
      <c r="AQ64" s="126">
        <f>VLOOKUP(AE64,db_fifarank,2,FALSE)</f>
        <v>1593.45</v>
      </c>
      <c r="AR64" s="125">
        <f>AP64/AP66</f>
        <v>0.44444442133481599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2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2 - 4</v>
      </c>
      <c r="P65" s="34">
        <f>L65*3+M65</f>
        <v>2</v>
      </c>
      <c r="R65" s="123">
        <f>DATE(2026,6,25)+TIME(15,0,0)+gmt_delta</f>
        <v>46199.083333333336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6</v>
      </c>
      <c r="AL65" s="123">
        <f>AI65-AJ65</f>
        <v>-4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10000000.222917948</v>
      </c>
      <c r="AQ65" s="126">
        <f>VLOOKUP(AE65,db_fifarank,2,FALSE)</f>
        <v>1391.45</v>
      </c>
      <c r="AR65" s="125">
        <f>AP65/AP66</f>
        <v>0.11111109993798723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2</v>
      </c>
      <c r="G66" s="20">
        <v>2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2 - 6</v>
      </c>
      <c r="P66" s="37">
        <f>L66*3+M66</f>
        <v>1</v>
      </c>
      <c r="R66" s="123">
        <f>DATE(2026,6,25)+TIME(15,0,0)+gmt_delta</f>
        <v>46199.083333333336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9</v>
      </c>
      <c r="AL66" s="123">
        <f>MIN(AL62:AL65)</f>
        <v>-4</v>
      </c>
      <c r="AM66" s="123">
        <f>MAX(AM62:AM65)+1</f>
        <v>12</v>
      </c>
      <c r="AN66" s="123">
        <f>MAX(AN62:AN65)+1</f>
        <v>10</v>
      </c>
      <c r="AO66" s="123">
        <f>MAX(AO62:AO65)+1</f>
        <v>10</v>
      </c>
      <c r="AP66" s="123">
        <f>MAX(AP62:AP65)+1</f>
        <v>90000011.056492984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Canada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New Zealand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10</v>
      </c>
      <c r="AJ68" s="123">
        <f>SUMIF($E$7:$E$78,$AE68,$G$7:$G$78) + SUMIF($H$7:$H$78,$AE68,$F$7:$F$78)</f>
        <v>1</v>
      </c>
      <c r="AL68" s="123">
        <f>AI68-AJ68</f>
        <v>9</v>
      </c>
      <c r="AM68" s="123">
        <f>AL68-AL72</f>
        <v>17</v>
      </c>
      <c r="AN68" s="123">
        <f>AF68*3+AG68</f>
        <v>7</v>
      </c>
      <c r="AO68" s="123">
        <f>AN68/AN72*10+BA68</f>
        <v>9.735294117647058</v>
      </c>
      <c r="AP68" s="123">
        <f>AO68*10000000+BI68*100+AM68/AM72*10+AI68/AI72*1++IF(AQ68=0,ROW(),AQ68)/2000000</f>
        <v>97353050.060299605</v>
      </c>
      <c r="AQ68" s="126">
        <f>VLOOKUP(AE68,db_fifarank,2,FALSE)</f>
        <v>1763.83</v>
      </c>
      <c r="AR68" s="125">
        <f>AP68/AP72</f>
        <v>0.99999998972810822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100.5</v>
      </c>
      <c r="BA68" s="126">
        <f>AZ68/AZ72</f>
        <v>0.98529411764705888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100.5</v>
      </c>
      <c r="BI68" s="126">
        <f>BH68/BH72</f>
        <v>0.98529411764705888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Canada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France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3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10 - 1</v>
      </c>
      <c r="P69" s="32">
        <f>L69*3+M69</f>
        <v>7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10</v>
      </c>
      <c r="AL69" s="123">
        <f>AI69-AJ69</f>
        <v>-8</v>
      </c>
      <c r="AM69" s="123">
        <f>AL69-AL72</f>
        <v>0</v>
      </c>
      <c r="AN69" s="123">
        <f>AF69*3+AG69</f>
        <v>1</v>
      </c>
      <c r="AO69" s="123">
        <f>AN69/AN72*10+BA69</f>
        <v>2.2401960784313726</v>
      </c>
      <c r="AP69" s="123">
        <f>AO69*10000000+BI69*100+AM69/AM72*10+AI69/AI72*1++IF(AQ69=0,ROW(),AQ69)/2000000</f>
        <v>22402059.986478928</v>
      </c>
      <c r="AQ69" s="126">
        <f>VLOOKUP(AE69,db_fifarank,2,FALSE)</f>
        <v>1478.35</v>
      </c>
      <c r="AR69" s="125">
        <f>AP69/AP72</f>
        <v>0.23011153469245965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2</v>
      </c>
      <c r="AW69" s="126" cm="1">
        <f t="array" ref="AW69">SUMPRODUCT(($E$7:$E$78=AE69)*($U$7:$U$78)*($G$7:$G$78))+SUMPRODUCT(($H$7:$H$78=AE69)*($U$7:$U$78)*($F$7:$F$78))</f>
        <v>2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101</v>
      </c>
      <c r="BA69" s="126">
        <f>AZ69/AZ72</f>
        <v>0.99019607843137258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2</v>
      </c>
      <c r="BE69" s="126" cm="1">
        <f t="array" ref="BE69">SUMPRODUCT(($E$7:$E$78=AE69)*($X$7:$X$78)*($G$7:$G$78))+SUMPRODUCT(($H$7:$H$78=AE69)*($X$7:$X$78)*($F$7:$F$78))</f>
        <v>2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101</v>
      </c>
      <c r="BI69" s="126">
        <f>BH69/BH72</f>
        <v>0.99019607843137258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6 - 1</v>
      </c>
      <c r="P70" s="34">
        <f>L70*3+M70</f>
        <v>7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8</v>
      </c>
      <c r="AL70" s="123">
        <f>AI70-AJ70</f>
        <v>-6</v>
      </c>
      <c r="AM70" s="123">
        <f>AL70-AL72</f>
        <v>2</v>
      </c>
      <c r="AN70" s="123">
        <f>AF70*3+AG70</f>
        <v>1</v>
      </c>
      <c r="AO70" s="123">
        <f>AN70/AN72*10+BA70</f>
        <v>2.2401960784313726</v>
      </c>
      <c r="AP70" s="123">
        <f>AO70*10000000+BI70*100+AM70/AM72*10+AI70/AI72*1++IF(AQ70=0,ROW(),AQ70)/2000000</f>
        <v>22402061.097583536</v>
      </c>
      <c r="AQ70" s="126">
        <f>VLOOKUP(AE70,db_fifarank,2,FALSE)</f>
        <v>1465.34</v>
      </c>
      <c r="AR70" s="125">
        <f>AP70/AP72</f>
        <v>0.23011154610560589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2</v>
      </c>
      <c r="AW70" s="126" cm="1">
        <f t="array" ref="AW70">SUMPRODUCT(($E$7:$E$78=AE70)*($U$7:$U$78)*($G$7:$G$78))+SUMPRODUCT(($H$7:$H$78=AE70)*($U$7:$U$78)*($F$7:$F$78))</f>
        <v>2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101</v>
      </c>
      <c r="BA70" s="126">
        <f>AZ70/AZ72</f>
        <v>0.99019607843137258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2</v>
      </c>
      <c r="BE70" s="126" cm="1">
        <f t="array" ref="BE70">SUMPRODUCT(($E$7:$E$78=AE70)*($X$7:$X$78)*($G$7:$G$78))+SUMPRODUCT(($H$7:$H$78=AE70)*($X$7:$X$78)*($F$7:$F$78))</f>
        <v>2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101</v>
      </c>
      <c r="BI70" s="126">
        <f>BH70/BH72</f>
        <v>0.99019607843137258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2 - 8</v>
      </c>
      <c r="P71" s="34">
        <f>L71*3+M71</f>
        <v>1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1</v>
      </c>
      <c r="AL71" s="123">
        <f>AI71-AJ71</f>
        <v>5</v>
      </c>
      <c r="AM71" s="123">
        <f>AL71-AL72</f>
        <v>13</v>
      </c>
      <c r="AN71" s="123">
        <f>AF71*3+AG71</f>
        <v>7</v>
      </c>
      <c r="AO71" s="123">
        <f>AN71/AN72*10+BA71</f>
        <v>9.735294117647058</v>
      </c>
      <c r="AP71" s="123">
        <f>AO71*10000000+BI71*100+AM71/AM72*10+AI71/AI72*1++IF(AQ71=0,ROW(),AQ71)/2000000</f>
        <v>97353047.474405661</v>
      </c>
      <c r="AQ71" s="126">
        <f>VLOOKUP(AE71,db_fifarank,2,FALSE)</f>
        <v>1693.09</v>
      </c>
      <c r="AR71" s="125">
        <f>AP71/AP72</f>
        <v>0.99999996316608564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100.5</v>
      </c>
      <c r="BA71" s="126">
        <f>AZ71/AZ72</f>
        <v>0.98529411764705888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100.5</v>
      </c>
      <c r="BI71" s="126">
        <f>BH71/BH72</f>
        <v>0.98529411764705888</v>
      </c>
      <c r="BK71" s="132"/>
      <c r="BL71" s="26" t="str">
        <f>IF(group_round_completed,VLOOKUP('3rd places'!J3,AK80:AS91,9,FALSE),"3rd Group D/E/I/J/L")</f>
        <v>Norway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2</v>
      </c>
      <c r="G72" s="20">
        <v>2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2 - 10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2</v>
      </c>
      <c r="W72" s="123">
        <f t="shared" si="22"/>
        <v>2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2</v>
      </c>
      <c r="Z72" s="123">
        <f t="shared" ref="Z72:Z78" si="34">X72*G72</f>
        <v>2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11</v>
      </c>
      <c r="AL72" s="123">
        <f>MIN(AL68:AL71)</f>
        <v>-8</v>
      </c>
      <c r="AM72" s="123">
        <f>MAX(AM68:AM71)+1</f>
        <v>18</v>
      </c>
      <c r="AN72" s="123">
        <f>MAX(AN68:AN71)+1</f>
        <v>8</v>
      </c>
      <c r="AO72" s="123">
        <f>MAX(AO68:AO71)+1</f>
        <v>10.735294117647058</v>
      </c>
      <c r="AP72" s="123">
        <f>MAX(AP68:AP71)+1</f>
        <v>97353051.060299605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102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102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4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9</v>
      </c>
      <c r="AJ74" s="123">
        <f>SUMIF($E$7:$E$78,$AE74,$G$7:$G$78) + SUMIF($H$7:$H$78,$AE74,$F$7:$F$78)</f>
        <v>3</v>
      </c>
      <c r="AL74" s="123">
        <f>AI74-AJ74</f>
        <v>6</v>
      </c>
      <c r="AM74" s="123">
        <f>AL74-AL78</f>
        <v>13</v>
      </c>
      <c r="AN74" s="123">
        <f>AF74*3+AG74</f>
        <v>7</v>
      </c>
      <c r="AO74" s="123">
        <f>AN74/AN78*10+BA74</f>
        <v>9.7401960784313726</v>
      </c>
      <c r="AP74" s="123">
        <f>AO74*10000000+BI74*100+AM74/AM78*10+AI74/AI78*1++IF(AQ74=0,ROW(),AQ74)/2000000</f>
        <v>97402069.990548834</v>
      </c>
      <c r="AQ74" s="126">
        <f>VLOOKUP(AE74,db_fifarank,2,FALSE)</f>
        <v>1825.97</v>
      </c>
      <c r="AR74" s="125">
        <f>AP74/AP78</f>
        <v>0.99999998973327786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2</v>
      </c>
      <c r="AW74" s="126" cm="1">
        <f t="array" ref="AW74">SUMPRODUCT(($E$7:$E$78=AE74)*($U$7:$U$78)*($G$7:$G$78))+SUMPRODUCT(($H$7:$H$78=AE74)*($U$7:$U$78)*($F$7:$F$78))</f>
        <v>2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101</v>
      </c>
      <c r="BA74" s="126">
        <f>AZ74/AZ78</f>
        <v>0.99019607843137258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2</v>
      </c>
      <c r="BE74" s="126" cm="1">
        <f t="array" ref="BE74">SUMPRODUCT(($E$7:$E$78=AE74)*($X$7:$X$78)*($G$7:$G$78))+SUMPRODUCT(($H$7:$H$78=AE74)*($X$7:$X$78)*($F$7:$F$78))</f>
        <v>2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101</v>
      </c>
      <c r="BI74" s="126">
        <f>BH74/BH78</f>
        <v>0.99019607843137258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9 - 3</v>
      </c>
      <c r="P75" s="32">
        <f>L75*3+M75</f>
        <v>7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8</v>
      </c>
      <c r="AJ75" s="123">
        <f>SUMIF($E$7:$E$78,$AE75,$G$7:$G$78) + SUMIF($H$7:$H$78,$AE75,$F$7:$F$78)</f>
        <v>3</v>
      </c>
      <c r="AL75" s="123">
        <f>AI75-AJ75</f>
        <v>5</v>
      </c>
      <c r="AM75" s="123">
        <f>AL75-AL78</f>
        <v>12</v>
      </c>
      <c r="AN75" s="123">
        <f>AF75*3+AG75</f>
        <v>7</v>
      </c>
      <c r="AO75" s="123">
        <f>AN75/AN78*10+BA75</f>
        <v>9.7401960784313726</v>
      </c>
      <c r="AP75" s="123">
        <f>AO75*10000000+BI75*100+AM75/AM78*10+AI75/AI78*1++IF(AQ75=0,ROW(),AQ75)/2000000</f>
        <v>97402069.17620866</v>
      </c>
      <c r="AQ75" s="126">
        <f>VLOOKUP(AE75,db_fifarank,2,FALSE)</f>
        <v>1717.07</v>
      </c>
      <c r="AR75" s="125">
        <f>AP75/AP78</f>
        <v>0.99999998137267354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2</v>
      </c>
      <c r="AW75" s="126" cm="1">
        <f t="array" ref="AW75">SUMPRODUCT(($E$7:$E$78=AE75)*($U$7:$U$78)*($G$7:$G$78))+SUMPRODUCT(($H$7:$H$78=AE75)*($U$7:$U$78)*($F$7:$F$78))</f>
        <v>2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101</v>
      </c>
      <c r="BA75" s="126">
        <f>AZ75/AZ78</f>
        <v>0.99019607843137258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2</v>
      </c>
      <c r="BE75" s="126" cm="1">
        <f t="array" ref="BE75">SUMPRODUCT(($E$7:$E$78=AE75)*($X$7:$X$78)*($G$7:$G$78))+SUMPRODUCT(($H$7:$H$78=AE75)*($X$7:$X$78)*($F$7:$F$78))</f>
        <v>2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101</v>
      </c>
      <c r="BI75" s="126">
        <f>BH75/BH78</f>
        <v>0.99019607843137258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1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8 - 3</v>
      </c>
      <c r="P76" s="34">
        <f>L76*3+M76</f>
        <v>7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6</v>
      </c>
      <c r="AL76" s="123">
        <f>AI76-AJ76</f>
        <v>-4</v>
      </c>
      <c r="AM76" s="123">
        <f>AL76-AL78</f>
        <v>3</v>
      </c>
      <c r="AN76" s="123">
        <f>AF76*3+AG76</f>
        <v>1</v>
      </c>
      <c r="AO76" s="123">
        <f>AN76/AN78*10+BA76</f>
        <v>2.2352941176470589</v>
      </c>
      <c r="AP76" s="123">
        <f>AO76*10000000+BI76*100+AM76/AM78*10+AI76/AI78*1++IF(AQ76=0,ROW(),AQ76)/2000000</f>
        <v>22353042.049412649</v>
      </c>
      <c r="AQ76" s="126">
        <f>VLOOKUP(AE76,db_fifarank,2,FALSE)</f>
        <v>1346.31</v>
      </c>
      <c r="AR76" s="125">
        <f>AP76/AP78</f>
        <v>0.22949247199868697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100.5</v>
      </c>
      <c r="BA76" s="126">
        <f>AZ76/AZ78</f>
        <v>0.98529411764705888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100.5</v>
      </c>
      <c r="BI76" s="126">
        <f>BH76/BH78</f>
        <v>0.98529411764705888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2 - 6</v>
      </c>
      <c r="P77" s="34">
        <f>L77*3+M77</f>
        <v>1</v>
      </c>
      <c r="R77" s="123">
        <f>DATE(2026,6,27)+TIME(12,30,0)+gmt_delta</f>
        <v>46200.979166666672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1</v>
      </c>
      <c r="W77" s="123">
        <f t="shared" si="22"/>
        <v>1</v>
      </c>
      <c r="X77" s="123">
        <f t="shared" si="32"/>
        <v>1</v>
      </c>
      <c r="Y77" s="123">
        <f t="shared" si="33"/>
        <v>1</v>
      </c>
      <c r="Z77" s="123">
        <f t="shared" si="34"/>
        <v>1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9</v>
      </c>
      <c r="AL77" s="123">
        <f>AI77-AJ77</f>
        <v>-7</v>
      </c>
      <c r="AM77" s="123">
        <f>AL77-AL78</f>
        <v>0</v>
      </c>
      <c r="AN77" s="123">
        <f>AF77*3+AG77</f>
        <v>1</v>
      </c>
      <c r="AO77" s="123">
        <f>AN77/AN78*10+BA77</f>
        <v>2.2352941176470589</v>
      </c>
      <c r="AP77" s="123">
        <f>AO77*10000000+BI77*100+AM77/AM78*10+AI77/AI78*1++IF(AQ77=0,ROW(),AQ77)/2000000</f>
        <v>22353039.90665267</v>
      </c>
      <c r="AQ77" s="126">
        <f>VLOOKUP(AE77,db_fifarank,2,FALSE)</f>
        <v>1540.64</v>
      </c>
      <c r="AR77" s="125">
        <f>AP77/AP78</f>
        <v>0.22949244999956564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100.5</v>
      </c>
      <c r="BA77" s="126">
        <f>AZ77/AZ78</f>
        <v>0.98529411764705888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100.5</v>
      </c>
      <c r="BI77" s="126">
        <f>BH77/BH78</f>
        <v>0.98529411764705888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2</v>
      </c>
      <c r="G78" s="20">
        <v>2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2 - 9</v>
      </c>
      <c r="P78" s="37">
        <f>L78*3+M78</f>
        <v>1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2</v>
      </c>
      <c r="W78" s="123">
        <f t="shared" si="22"/>
        <v>2</v>
      </c>
      <c r="X78" s="123">
        <f t="shared" si="32"/>
        <v>1</v>
      </c>
      <c r="Y78" s="123">
        <f t="shared" si="33"/>
        <v>2</v>
      </c>
      <c r="Z78" s="123">
        <f t="shared" si="34"/>
        <v>2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1</v>
      </c>
      <c r="AH78" s="123">
        <f t="shared" si="36"/>
        <v>3</v>
      </c>
      <c r="AI78" s="123">
        <f>MAX(AI74:AI77)+1</f>
        <v>10</v>
      </c>
      <c r="AL78" s="123">
        <f>MIN(AL74:AL77)</f>
        <v>-7</v>
      </c>
      <c r="AM78" s="123">
        <f>MAX(AM74:AM77)+1</f>
        <v>14</v>
      </c>
      <c r="AN78" s="123">
        <f>MAX(AN74:AN77)+1</f>
        <v>8</v>
      </c>
      <c r="AO78" s="123">
        <f>MAX(AO74:AO77)+1</f>
        <v>10.740196078431373</v>
      </c>
      <c r="AP78" s="123">
        <f>MAX(AP74:AP77)+1</f>
        <v>97402070.990548834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102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102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5</v>
      </c>
      <c r="AE80" s="124" t="str">
        <f>J11</f>
        <v>Korea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3</v>
      </c>
      <c r="AJ80" s="123">
        <f>VLOOKUP($AE80,$AE$8:$AQ$78,6,FALSE)</f>
        <v>4</v>
      </c>
      <c r="AK80" s="123" t="s">
        <v>3180</v>
      </c>
      <c r="AL80" s="123">
        <f>VLOOKUP($AE80,$AE$8:$AQ$78,8,FALSE)</f>
        <v>-1</v>
      </c>
      <c r="AM80" s="123">
        <f>AL80-$AL$92</f>
        <v>6</v>
      </c>
      <c r="AN80" s="123">
        <f>VLOOKUP($AE80,$AE$8:$AQ$78,10,FALSE)</f>
        <v>2</v>
      </c>
      <c r="AP80" s="123">
        <f>AN80/AN92*10000+AM80/AM92*1000+AI80/AI92*100+IF(AQ80=0,ROW(),AQ80)/2000000</f>
        <v>4726.6674609966667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Ⓑ Bosnia and Herzegovina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3 - 2</v>
      </c>
      <c r="P81" s="98">
        <f>L81*3+M81</f>
        <v>4</v>
      </c>
      <c r="AD81" s="123">
        <f t="shared" ref="AD81:AD91" si="38">COUNTIF($AP$80:$AP$91,CONCATENATE("&gt;=",AP81))</f>
        <v>1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1</v>
      </c>
      <c r="AM81" s="123">
        <f t="shared" ref="AM81:AM91" si="44">AL81-$AL$92</f>
        <v>8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8948.8895818088895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Ⓖ New Zealand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2 - 3</v>
      </c>
      <c r="P82" s="101">
        <f t="shared" ref="P82:P92" si="48">L82*3+M82</f>
        <v>4</v>
      </c>
      <c r="AD82" s="123">
        <f t="shared" si="38"/>
        <v>4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3</v>
      </c>
      <c r="AJ82" s="123">
        <f t="shared" si="42"/>
        <v>5</v>
      </c>
      <c r="AK82" s="123" t="s">
        <v>3182</v>
      </c>
      <c r="AL82" s="123">
        <f t="shared" si="43"/>
        <v>-2</v>
      </c>
      <c r="AM82" s="123">
        <f t="shared" si="44"/>
        <v>5</v>
      </c>
      <c r="AN82" s="123">
        <f t="shared" si="45"/>
        <v>3</v>
      </c>
      <c r="AP82" s="123">
        <f>AN82/AN92*10000+AM82/AM92*1000+AI82/AI92*100+IF(AQ82=0,ROW(),AQ82)/2000000</f>
        <v>6615.5563047305559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Ⓘ Norway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4 - 6</v>
      </c>
      <c r="P83" s="101">
        <f t="shared" si="48"/>
        <v>3</v>
      </c>
      <c r="AD83" s="123">
        <f t="shared" si="38"/>
        <v>7</v>
      </c>
      <c r="AE83" s="124" t="str">
        <f>J29</f>
        <v>Australia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3</v>
      </c>
      <c r="AJ83" s="123">
        <f t="shared" si="42"/>
        <v>5</v>
      </c>
      <c r="AK83" s="123" t="s">
        <v>3184</v>
      </c>
      <c r="AL83" s="123">
        <f t="shared" si="43"/>
        <v>-2</v>
      </c>
      <c r="AM83" s="123">
        <f t="shared" si="44"/>
        <v>5</v>
      </c>
      <c r="AN83" s="123">
        <f t="shared" si="45"/>
        <v>2</v>
      </c>
      <c r="AP83" s="123">
        <f>AN83/AN92*10000+AM83/AM92*1000+AI83/AI92*100+IF(AQ83=0,ROW(),AQ83)/2000000</f>
        <v>4615.5563458905553</v>
      </c>
      <c r="AQ83" s="126">
        <f t="shared" si="37"/>
        <v>1580.67</v>
      </c>
      <c r="AR83" s="125" t="str">
        <f t="shared" si="50"/>
        <v>ABCD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Ⓒ Scotland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3 - 5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10</v>
      </c>
      <c r="AE84" s="124" t="str">
        <f>J35</f>
        <v>Ivory Coast</v>
      </c>
      <c r="AF84" s="123">
        <f t="shared" si="39"/>
        <v>0</v>
      </c>
      <c r="AG84" s="123">
        <f t="shared" si="49"/>
        <v>1</v>
      </c>
      <c r="AH84" s="123">
        <f t="shared" si="40"/>
        <v>2</v>
      </c>
      <c r="AI84" s="123">
        <f t="shared" si="41"/>
        <v>1</v>
      </c>
      <c r="AJ84" s="123">
        <f t="shared" si="42"/>
        <v>6</v>
      </c>
      <c r="AK84" s="123" t="s">
        <v>3185</v>
      </c>
      <c r="AL84" s="123">
        <f t="shared" si="43"/>
        <v>-5</v>
      </c>
      <c r="AM84" s="123">
        <f t="shared" si="44"/>
        <v>2</v>
      </c>
      <c r="AN84" s="123">
        <f t="shared" si="45"/>
        <v>1</v>
      </c>
      <c r="AP84" s="123">
        <f>AN84/AN92*10000+AM84/AM92*1000+AI84/AI92*100+IF(AQ84=0,ROW(),AQ84)/2000000</f>
        <v>2242.2229887122221</v>
      </c>
      <c r="AQ84" s="126">
        <f t="shared" si="37"/>
        <v>1532.98</v>
      </c>
      <c r="AR84" s="125" t="str">
        <f t="shared" si="50"/>
        <v>ABCD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Ⓐ Korea Republic</v>
      </c>
      <c r="K85" s="100">
        <f t="shared" si="47"/>
        <v>3</v>
      </c>
      <c r="L85" s="100">
        <f>VLOOKUP(5,$AD$80:$AN$91,3,FALSE)</f>
        <v>0</v>
      </c>
      <c r="M85" s="100">
        <f>VLOOKUP(5,$AD$80:$AN$91,4,FALSE)</f>
        <v>2</v>
      </c>
      <c r="N85" s="100">
        <f>VLOOKUP(5,$AD$80:$AN$91,5,FALSE)</f>
        <v>1</v>
      </c>
      <c r="O85" s="100" t="str">
        <f>VLOOKUP(5,$AD$80:$AN$91,6,FALSE) &amp; " - " &amp; VLOOKUP(5,$AD$80:$AN$91,7,FALSE)</f>
        <v>3 - 4</v>
      </c>
      <c r="P85" s="101">
        <f t="shared" si="48"/>
        <v>2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6</v>
      </c>
      <c r="AE85" s="124" t="str">
        <f>J41</f>
        <v>Tunisia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3</v>
      </c>
      <c r="AJ85" s="123">
        <f t="shared" si="42"/>
        <v>4</v>
      </c>
      <c r="AK85" s="123" t="s">
        <v>3186</v>
      </c>
      <c r="AL85" s="123">
        <f t="shared" si="43"/>
        <v>-1</v>
      </c>
      <c r="AM85" s="123">
        <f t="shared" si="44"/>
        <v>6</v>
      </c>
      <c r="AN85" s="123">
        <f t="shared" si="45"/>
        <v>2</v>
      </c>
      <c r="AP85" s="123">
        <f>AN85/AN92*10000+AM85/AM92*1000+AI85/AI92*100+IF(AQ85=0,ROW(),AQ85)/2000000</f>
        <v>4726.6674081916672</v>
      </c>
      <c r="AQ85" s="126">
        <f t="shared" si="37"/>
        <v>1483.05</v>
      </c>
      <c r="AR85" s="125" t="str">
        <f t="shared" si="50"/>
        <v>ABCDF</v>
      </c>
      <c r="AS85" s="129" t="str">
        <f t="shared" si="46"/>
        <v>Tunisia</v>
      </c>
      <c r="AT85" s="130" t="str">
        <f>"Ⓕ "&amp;AE85</f>
        <v>Ⓕ Tunisia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Ⓕ Tunisia</v>
      </c>
      <c r="K86" s="100">
        <f t="shared" si="47"/>
        <v>3</v>
      </c>
      <c r="L86" s="100">
        <f>VLOOKUP(6,$AD$80:$AN$91,3,FALSE)</f>
        <v>0</v>
      </c>
      <c r="M86" s="100">
        <f>VLOOKUP(6,$AD$80:$AN$91,4,FALSE)</f>
        <v>2</v>
      </c>
      <c r="N86" s="100">
        <f>VLOOKUP(6,$AD$80:$AN$91,5,FALSE)</f>
        <v>1</v>
      </c>
      <c r="O86" s="100" t="str">
        <f>VLOOKUP(6,$AD$80:$AN$91,6,FALSE) &amp; " - " &amp; VLOOKUP(6,$AD$80:$AN$91,7,FALSE)</f>
        <v>3 - 4</v>
      </c>
      <c r="P86" s="101">
        <f t="shared" si="48"/>
        <v>2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2</v>
      </c>
      <c r="AE86" s="124" t="str">
        <f>J47</f>
        <v>New Zealand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2</v>
      </c>
      <c r="AJ86" s="123">
        <f t="shared" si="42"/>
        <v>3</v>
      </c>
      <c r="AK86" s="123" t="s">
        <v>3187</v>
      </c>
      <c r="AL86" s="123">
        <f t="shared" si="43"/>
        <v>-1</v>
      </c>
      <c r="AM86" s="123">
        <f t="shared" si="44"/>
        <v>6</v>
      </c>
      <c r="AN86" s="123">
        <f t="shared" si="45"/>
        <v>4</v>
      </c>
      <c r="AP86" s="123">
        <f>AN86/AN92*10000+AM86/AM92*1000+AI86/AI92*100+IF(AQ86=0,ROW(),AQ86)/2000000</f>
        <v>8706.6673074516657</v>
      </c>
      <c r="AQ86" s="126">
        <f t="shared" si="37"/>
        <v>1281.57</v>
      </c>
      <c r="AR86" s="125" t="str">
        <f t="shared" si="50"/>
        <v>ABCDFG</v>
      </c>
      <c r="AS86" s="129" t="str">
        <f t="shared" si="46"/>
        <v>New Zealand</v>
      </c>
      <c r="AT86" s="130" t="str">
        <f>"Ⓖ "&amp;AE86</f>
        <v>Ⓖ New Zealand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Ⓓ Australia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3 - 5</v>
      </c>
      <c r="P87" s="101">
        <f t="shared" si="48"/>
        <v>2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1</v>
      </c>
      <c r="AJ87" s="123">
        <f t="shared" si="42"/>
        <v>8</v>
      </c>
      <c r="AK87" s="123" t="s">
        <v>3188</v>
      </c>
      <c r="AL87" s="123">
        <f t="shared" si="43"/>
        <v>-7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2020.000710715</v>
      </c>
      <c r="AQ87" s="126">
        <f t="shared" si="37"/>
        <v>1421.43</v>
      </c>
      <c r="AR87" s="125" t="str">
        <f t="shared" si="50"/>
        <v>ABCDFG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Ⓙ Algeria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2 - 4</v>
      </c>
      <c r="P88" s="101">
        <f t="shared" si="48"/>
        <v>2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3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6</v>
      </c>
      <c r="AK88" s="123" t="s">
        <v>3189</v>
      </c>
      <c r="AL88" s="123">
        <f t="shared" si="43"/>
        <v>-2</v>
      </c>
      <c r="AM88" s="123">
        <f t="shared" si="44"/>
        <v>5</v>
      </c>
      <c r="AN88" s="123">
        <f t="shared" si="45"/>
        <v>3</v>
      </c>
      <c r="AP88" s="123">
        <f>AN88/AN92*10000+AM88/AM92*1000+AI88/AI92*100+IF(AQ88=0,ROW(),AQ88)/2000000</f>
        <v>6635.5563310255557</v>
      </c>
      <c r="AQ88" s="126">
        <f t="shared" si="37"/>
        <v>1550.94</v>
      </c>
      <c r="AR88" s="125" t="str">
        <f t="shared" si="50"/>
        <v>ABCDFGI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Ⓛ Ghana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2 - 6</v>
      </c>
      <c r="P89" s="104">
        <f t="shared" si="48"/>
        <v>1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8</v>
      </c>
      <c r="AE89" s="124" t="str">
        <f>J65</f>
        <v>Algeria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2</v>
      </c>
      <c r="AJ89" s="123">
        <f t="shared" si="42"/>
        <v>4</v>
      </c>
      <c r="AK89" s="123" t="s">
        <v>3190</v>
      </c>
      <c r="AL89" s="123">
        <f t="shared" si="43"/>
        <v>-2</v>
      </c>
      <c r="AM89" s="123">
        <f t="shared" si="44"/>
        <v>5</v>
      </c>
      <c r="AN89" s="123">
        <f t="shared" si="45"/>
        <v>2</v>
      </c>
      <c r="AP89" s="123">
        <f>AN89/AN92*10000+AM89/AM92*1000+AI89/AI92*100+IF(AQ89=0,ROW(),AQ89)/2000000</f>
        <v>4595.5563376855553</v>
      </c>
      <c r="AQ89" s="126">
        <f t="shared" si="37"/>
        <v>1564.26</v>
      </c>
      <c r="AR89" s="125" t="str">
        <f t="shared" si="50"/>
        <v>ABCDFGIJ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Ⓔ Ivory Coast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1 - 6</v>
      </c>
      <c r="P90" s="104">
        <f t="shared" si="48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11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2</v>
      </c>
      <c r="AJ90" s="123">
        <f t="shared" si="42"/>
        <v>8</v>
      </c>
      <c r="AK90" s="123" t="s">
        <v>3191</v>
      </c>
      <c r="AL90" s="123">
        <f t="shared" si="43"/>
        <v>-6</v>
      </c>
      <c r="AM90" s="123">
        <f t="shared" si="44"/>
        <v>1</v>
      </c>
      <c r="AN90" s="123">
        <f t="shared" si="45"/>
        <v>1</v>
      </c>
      <c r="AP90" s="123">
        <f>AN90/AN92*10000+AM90/AM92*1000+AI90/AI92*100+IF(AQ90=0,ROW(),AQ90)/2000000</f>
        <v>2151.1118437811115</v>
      </c>
      <c r="AQ90" s="126">
        <f t="shared" si="37"/>
        <v>1465.34</v>
      </c>
      <c r="AR90" s="125" t="str">
        <f t="shared" si="50"/>
        <v>ABCDFGIJ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Uzbekistan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2 - 8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9</v>
      </c>
      <c r="AE91" s="124" t="str">
        <f>J77</f>
        <v>Ghana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6</v>
      </c>
      <c r="AK91" s="123" t="s">
        <v>3192</v>
      </c>
      <c r="AL91" s="123">
        <f>VLOOKUP($AE91,$AE$8:$AQ$78,8,FALSE)</f>
        <v>-4</v>
      </c>
      <c r="AM91" s="123">
        <f t="shared" si="44"/>
        <v>3</v>
      </c>
      <c r="AN91" s="123">
        <f>VLOOKUP($AE91,$AE$8:$AQ$78,10,FALSE)</f>
        <v>1</v>
      </c>
      <c r="AP91" s="123">
        <f>AN91/AN92*10000+AM91/AM92*1000+AI91/AI92*100+IF(AQ91=0,ROW(),AQ91)/2000000</f>
        <v>2373.3340064883337</v>
      </c>
      <c r="AQ91" s="126">
        <f t="shared" si="37"/>
        <v>1346.31</v>
      </c>
      <c r="AR91" s="125" t="str">
        <f t="shared" si="50"/>
        <v>ABCDFGIJ</v>
      </c>
      <c r="AS91" s="129" t="str">
        <f t="shared" si="46"/>
        <v/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1 - 8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9</v>
      </c>
      <c r="AL92" s="123">
        <f>MIN(AL80:AL91)</f>
        <v>-7</v>
      </c>
      <c r="AM92" s="123">
        <f>MAX(AM80:AM91)+1</f>
        <v>9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456</v>
      </c>
      <c r="C3" s="121" t="str">
        <f>'2026 World Cup'!AR91</f>
        <v>ABCDFGIJ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3I</v>
      </c>
      <c r="K3" s="122" t="str">
        <f>VLOOKUP($C3,$C$6:$K$500,9,FALSE)</f>
        <v>3J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E39FCCE5B25D41843728463D8702CD" ma:contentTypeVersion="3" ma:contentTypeDescription="Opprett et nytt dokument." ma:contentTypeScope="" ma:versionID="f526c9bbb9da171fc3aa15898664257d">
  <xsd:schema xmlns:xsd="http://www.w3.org/2001/XMLSchema" xmlns:xs="http://www.w3.org/2001/XMLSchema" xmlns:p="http://schemas.microsoft.com/office/2006/metadata/properties" xmlns:ns2="3dacec4a-16e0-4c23-af47-b0328532aa0c" targetNamespace="http://schemas.microsoft.com/office/2006/metadata/properties" ma:root="true" ma:fieldsID="9f692aa5e1eb72d1d7d7719d109e8ca1" ns2:_="">
    <xsd:import namespace="3dacec4a-16e0-4c23-af47-b0328532a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ec4a-16e0-4c23-af47-b0328532a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0BD6BD-517C-4D93-9A4B-67548814E5D0}"/>
</file>

<file path=customXml/itemProps2.xml><?xml version="1.0" encoding="utf-8"?>
<ds:datastoreItem xmlns:ds="http://schemas.openxmlformats.org/officeDocument/2006/customXml" ds:itemID="{984C022E-66D3-4829-810C-DCAA2F2AEE64}"/>
</file>

<file path=customXml/itemProps3.xml><?xml version="1.0" encoding="utf-8"?>
<ds:datastoreItem xmlns:ds="http://schemas.openxmlformats.org/officeDocument/2006/customXml" ds:itemID="{C1ADDCA0-D21B-47A9-8ED5-7B703FD5B1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Pål Schøne</cp:lastModifiedBy>
  <cp:revision/>
  <dcterms:created xsi:type="dcterms:W3CDTF">2017-12-27T19:32:51Z</dcterms:created>
  <dcterms:modified xsi:type="dcterms:W3CDTF">2026-06-11T13:17:54Z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0x01010090E39FCCE5B25D41843728463D8702CD</vt:lpwstr>
  </property>
</Properties>
</file>