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Innsendte skjema/Kampresultat/"/>
    </mc:Choice>
  </mc:AlternateContent>
  <xr:revisionPtr revIDLastSave="0" documentId="8_{473DA005-A462-4E11-9B85-C0E71C52A0C3}" xr6:coauthVersionLast="47" xr6:coauthVersionMax="47" xr10:uidLastSave="{00000000-0000-0000-0000-000000000000}"/>
  <bookViews>
    <workbookView xWindow="38280" yWindow="-120" windowWidth="38640" windowHeight="2112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S45" i="3"/>
  <c r="T45" i="3" s="1"/>
  <c r="S18" i="3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T21" i="3"/>
  <c r="S42" i="3"/>
  <c r="S64" i="3"/>
  <c r="T18" i="3"/>
  <c r="T41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11" i="3" l="1"/>
  <c r="AD58" i="3"/>
  <c r="AR70" i="3"/>
  <c r="AR10" i="3"/>
  <c r="AR69" i="3"/>
  <c r="AR35" i="3"/>
  <c r="AR71" i="3"/>
  <c r="AR9" i="3"/>
  <c r="AD57" i="3"/>
  <c r="AR33" i="3"/>
  <c r="AR34" i="3"/>
  <c r="AD34" i="3" s="1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9" i="3" l="1"/>
  <c r="AD68" i="3"/>
  <c r="J69" i="3" s="1"/>
  <c r="AS68" i="3" s="1"/>
  <c r="BL70" i="3" s="1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J71" i="3" l="1"/>
  <c r="AE90" i="3" s="1"/>
  <c r="AQ90" i="3" s="1"/>
  <c r="L36" i="3"/>
  <c r="M72" i="3"/>
  <c r="N71" i="3"/>
  <c r="L70" i="3"/>
  <c r="L72" i="3"/>
  <c r="O69" i="3"/>
  <c r="M69" i="3"/>
  <c r="N70" i="3"/>
  <c r="N69" i="3"/>
  <c r="L69" i="3"/>
  <c r="O71" i="3"/>
  <c r="M70" i="3"/>
  <c r="J72" i="3"/>
  <c r="O72" i="3"/>
  <c r="N72" i="3"/>
  <c r="J33" i="3"/>
  <c r="AS32" i="3" s="1"/>
  <c r="BL10" i="3" s="1"/>
  <c r="N35" i="3"/>
  <c r="O36" i="3"/>
  <c r="N36" i="3"/>
  <c r="M71" i="3"/>
  <c r="L71" i="3"/>
  <c r="O70" i="3"/>
  <c r="J70" i="3"/>
  <c r="AS69" i="3" s="1"/>
  <c r="BL26" i="3" s="1"/>
  <c r="BS28" i="3" s="1"/>
  <c r="O34" i="3"/>
  <c r="M35" i="3"/>
  <c r="J36" i="3"/>
  <c r="M34" i="3"/>
  <c r="N10" i="3"/>
  <c r="J10" i="3"/>
  <c r="AS9" i="3" s="1"/>
  <c r="BL18" i="3" s="1"/>
  <c r="S88" i="3" s="1"/>
  <c r="T88" i="3" s="1" a="1"/>
  <c r="T8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BS61" i="3" l="1"/>
  <c r="BZ64" i="3" s="1"/>
  <c r="S86" i="3"/>
  <c r="T86" i="3" s="1" a="1"/>
  <c r="T86" i="3" s="1"/>
  <c r="P72" i="3"/>
  <c r="AH90" i="3"/>
  <c r="AI90" i="3"/>
  <c r="AF90" i="3"/>
  <c r="AT90" i="3"/>
  <c r="AG90" i="3"/>
  <c r="AN90" i="3"/>
  <c r="AL90" i="3"/>
  <c r="AJ90" i="3"/>
  <c r="K36" i="3"/>
  <c r="K72" i="3"/>
  <c r="K70" i="3"/>
  <c r="P69" i="3"/>
  <c r="K71" i="3"/>
  <c r="K69" i="3"/>
  <c r="P70" i="3"/>
  <c r="P71" i="3"/>
  <c r="P35" i="3"/>
  <c r="P12" i="3"/>
  <c r="P34" i="3"/>
  <c r="P33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BS68" i="3" s="1"/>
  <c r="J3" i="4"/>
  <c r="BL71" i="3" s="1"/>
  <c r="I3" i="4"/>
  <c r="BL15" i="3" s="1"/>
  <c r="D3" i="4"/>
  <c r="BL51" i="3" s="1"/>
  <c r="BS53" i="3"/>
  <c r="BS52" i="3"/>
  <c r="BZ49" i="3" s="1"/>
  <c r="CG55" i="3" s="1"/>
  <c r="CN49" i="3" s="1"/>
  <c r="BS69" i="3"/>
  <c r="BZ65" i="3" s="1"/>
  <c r="CG56" i="3" s="1"/>
  <c r="CN38" i="3" l="1"/>
  <c r="S91" i="3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<sst xmlns="http://schemas.openxmlformats.org/spreadsheetml/2006/main" count="9786" uniqueCount="3698">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</sst>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34" zoomScaleNormal="100" workbookViewId="0">
      <selection activeCell="CN53" sqref="CN53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2</v>
      </c>
      <c r="AL8" s="123">
        <f>AI8-AJ8</f>
        <v>2</v>
      </c>
      <c r="AM8" s="123">
        <f>AL8-AL12</f>
        <v>4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87500008.800840512</v>
      </c>
      <c r="AQ8" s="126">
        <f>VLOOKUP(AE8,db_fifarank,2,FALSE)</f>
        <v>1681.03</v>
      </c>
      <c r="AR8" s="125">
        <f>AP8/AP12</f>
        <v>0.9999999885714298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4 - 2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4</v>
      </c>
      <c r="AL9" s="123">
        <f>AI9-AJ9</f>
        <v>-2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12500000.400714865</v>
      </c>
      <c r="AQ9" s="126">
        <f>VLOOKUP(AE9,db_fifarank,2,FALSE)</f>
        <v>1429.73</v>
      </c>
      <c r="AR9" s="125">
        <f>AP9/AP12</f>
        <v>0.14285713143537032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3 - 2</v>
      </c>
      <c r="P10" s="34">
        <f>L10*3+M10</f>
        <v>5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2</v>
      </c>
      <c r="AL10" s="123">
        <f>AI10-AJ10</f>
        <v>1</v>
      </c>
      <c r="AM10" s="123">
        <f>AL10-AL12</f>
        <v>3</v>
      </c>
      <c r="AN10" s="123">
        <f>AF10*3+AG10</f>
        <v>5</v>
      </c>
      <c r="AO10" s="123">
        <f>AN10/AN12*10+BA10</f>
        <v>6.25</v>
      </c>
      <c r="AP10" s="123">
        <f>AO10*10000000+BI10*100+AM10/AM12*10+AI10/AI12*1++IF(AQ10=0,ROW(),AQ10)/2000000</f>
        <v>62500006.60079433</v>
      </c>
      <c r="AQ10" s="126">
        <f>VLOOKUP(AE10,db_fifarank,2,FALSE)</f>
        <v>1588.66</v>
      </c>
      <c r="AR10" s="125">
        <f>AP10/AP12</f>
        <v>0.71428570971650296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2 - 3</v>
      </c>
      <c r="P11" s="34">
        <f>L11*3+M11</f>
        <v>2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3</v>
      </c>
      <c r="AL11" s="123">
        <f>AI11-AJ11</f>
        <v>-1</v>
      </c>
      <c r="AM11" s="123">
        <f>AL11-AL12</f>
        <v>1</v>
      </c>
      <c r="AN11" s="123">
        <f>AF11*3+AG11</f>
        <v>2</v>
      </c>
      <c r="AO11" s="123">
        <f>AN11/AN12*10+BA11</f>
        <v>2.5</v>
      </c>
      <c r="AP11" s="123">
        <f>AO11*10000000+BI11*100+AM11/AM12*10+AI11/AI12*1++IF(AQ11=0,ROW(),AQ11)/2000000</f>
        <v>25000002.400750689</v>
      </c>
      <c r="AQ11" s="126">
        <f>VLOOKUP(AE11,db_fifarank,2,FALSE)</f>
        <v>1501.38</v>
      </c>
      <c r="AR11" s="125">
        <f>AP11/AP12</f>
        <v>0.28571428114869241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Morocco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2 - 4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3</v>
      </c>
      <c r="AI12" s="123">
        <f>MAX(AI8:AI11)+1</f>
        <v>5</v>
      </c>
      <c r="AL12" s="123">
        <f>MIN(AL8:AL11)</f>
        <v>-2</v>
      </c>
      <c r="AM12" s="123">
        <f>MAX(AM8:AM11)+1</f>
        <v>5</v>
      </c>
      <c r="AN12" s="123">
        <f>MAX(AN8:AN11)+1</f>
        <v>8</v>
      </c>
      <c r="AO12" s="123">
        <f>MAX(AO8:AO11)+1</f>
        <v>9.75</v>
      </c>
      <c r="AP12" s="123">
        <f>MAX(AP8:AP11)+1</f>
        <v>87500009.800840512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2</v>
      </c>
      <c r="AL14" s="123">
        <f>AI14-AJ14</f>
        <v>2</v>
      </c>
      <c r="AM14" s="123">
        <f>AL14-AL18</f>
        <v>5</v>
      </c>
      <c r="AN14" s="123">
        <f>AF14*3+AG14</f>
        <v>7</v>
      </c>
      <c r="AO14" s="123">
        <f>AN14/AN18*10+BA14</f>
        <v>9.7305825242718456</v>
      </c>
      <c r="AP14" s="123">
        <f>AO14*10000000+BI14*100+AM14/AM18*10+AI14/AI18*1++IF(AQ14=0,ROW(),AQ14)/2000000</f>
        <v>97305931.244606271</v>
      </c>
      <c r="AQ14" s="126">
        <f>VLOOKUP(AE14,db_fifarank,2,FALSE)</f>
        <v>1556.48</v>
      </c>
      <c r="AR14" s="125">
        <f>AP14/AP18</f>
        <v>0.99999997504142046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0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4 - 1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3</v>
      </c>
      <c r="AL15" s="123">
        <f>AI15-AJ15</f>
        <v>-2</v>
      </c>
      <c r="AM15" s="123">
        <f>AL15-AL18</f>
        <v>1</v>
      </c>
      <c r="AN15" s="123">
        <f>AF15*3+AG15</f>
        <v>3</v>
      </c>
      <c r="AO15" s="123">
        <f>AN15/AN18*10+BA15</f>
        <v>3.75</v>
      </c>
      <c r="AP15" s="123">
        <f>AO15*10000000+BI15*100+AM15/AM18*10+AI15/AI18*1++IF(AQ15=0,ROW(),AQ15)/2000000</f>
        <v>37500001.629264347</v>
      </c>
      <c r="AQ15" s="126">
        <f>VLOOKUP(AE15,db_fifarank,2,FALSE)</f>
        <v>1385.84</v>
      </c>
      <c r="AR15" s="125">
        <f>AP15/AP18</f>
        <v>0.38538247580253465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2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4 - 2</v>
      </c>
      <c r="P16" s="34">
        <f>L16*3+M16</f>
        <v>7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4</v>
      </c>
      <c r="AL16" s="123">
        <f>AI16-AJ16</f>
        <v>-3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0.20072748000000001</v>
      </c>
      <c r="AQ16" s="126">
        <f>VLOOKUP(AE16,db_fifarank,2,FALSE)</f>
        <v>1454.96</v>
      </c>
      <c r="AR16" s="125">
        <f>AP16/AP18</f>
        <v>2.0628493291487173E-9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1</v>
      </c>
      <c r="G17" s="20">
        <v>0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1 - 3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1</v>
      </c>
      <c r="AL17" s="123">
        <f>AI17-AJ17</f>
        <v>3</v>
      </c>
      <c r="AM17" s="123">
        <f>AL17-AL18</f>
        <v>6</v>
      </c>
      <c r="AN17" s="123">
        <f>AF17*3+AG17</f>
        <v>7</v>
      </c>
      <c r="AO17" s="123">
        <f>AN17/AN18*10+BA17</f>
        <v>9.7305825242718456</v>
      </c>
      <c r="AP17" s="123">
        <f>AO17*10000000+BI17*100+AM17/AM18*10+AI17/AI18*1++IF(AQ17=0,ROW(),AQ17)/2000000</f>
        <v>97305932.673224151</v>
      </c>
      <c r="AQ17" s="126">
        <f>VLOOKUP(AE17,db_fifarank,2,FALSE)</f>
        <v>1649.4</v>
      </c>
      <c r="AR17" s="125">
        <f>AP17/AP18</f>
        <v>0.99999998972313442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50.5</v>
      </c>
      <c r="BA17" s="126">
        <f>AZ17/AZ18</f>
        <v>0.98058252427184467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50.5</v>
      </c>
      <c r="BI17" s="126">
        <f>BH17/BH18</f>
        <v>0.98058252427184467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1 - 4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5</v>
      </c>
      <c r="AL18" s="123">
        <f>MIN(AL14:AL17)</f>
        <v>-3</v>
      </c>
      <c r="AM18" s="123">
        <f>MAX(AM14:AM17)+1</f>
        <v>7</v>
      </c>
      <c r="AN18" s="123">
        <f>MAX(AN14:AN17)+1</f>
        <v>8</v>
      </c>
      <c r="AO18" s="123">
        <f>MAX(AO14:AO17)+1</f>
        <v>10.730582524271846</v>
      </c>
      <c r="AP18" s="123">
        <f>MAX(AP14:AP17)+1</f>
        <v>97305933.673224151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4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2</v>
      </c>
      <c r="AL20" s="123">
        <f>AI20-AJ20</f>
        <v>5</v>
      </c>
      <c r="AM20" s="123">
        <f>AL20-AL24</f>
        <v>13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90000010.161594868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3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4</v>
      </c>
      <c r="AL21" s="123">
        <f>AI21-AJ21</f>
        <v>1</v>
      </c>
      <c r="AM21" s="123">
        <f>AL21-AL24</f>
        <v>9</v>
      </c>
      <c r="AN21" s="123">
        <f>AF21*3+AG21</f>
        <v>4</v>
      </c>
      <c r="AO21" s="123">
        <f>AN21/AN24*10+BA21</f>
        <v>4.9806451612903224</v>
      </c>
      <c r="AP21" s="123">
        <f>AO21*10000000+BI21*100+AM21/AM24*10+AI21/AI24*1++IF(AQ21=0,ROW(),AQ21)/2000000</f>
        <v>49806556.731868707</v>
      </c>
      <c r="AQ21" s="126">
        <f>VLOOKUP(AE21,db_fifarank,2,FALSE)</f>
        <v>1755.87</v>
      </c>
      <c r="AR21" s="125">
        <f>AP21/AP24</f>
        <v>0.55340611727748701</v>
      </c>
      <c r="AS21" s="125" t="str">
        <f>IF(SUM(AF20:AH23)=12,J22,"2C")</f>
        <v>Scotland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Scotland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6 - 4</v>
      </c>
      <c r="P22" s="34">
        <f>L22*3+M22</f>
        <v>4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7.1761657766949428E-12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Morocco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5 - 4</v>
      </c>
      <c r="P23" s="34">
        <f>L23*3+M23</f>
        <v>4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2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6</v>
      </c>
      <c r="AJ23" s="123">
        <f>SUMIF($E$7:$E$78,$AE23,$G$7:$G$78) + SUMIF($H$7:$H$78,$AE23,$F$7:$F$78)</f>
        <v>4</v>
      </c>
      <c r="AL23" s="123">
        <f>AI23-AJ23</f>
        <v>2</v>
      </c>
      <c r="AM23" s="123">
        <f>AL23-AL24</f>
        <v>10</v>
      </c>
      <c r="AN23" s="123">
        <f>AF23*3+AG23</f>
        <v>4</v>
      </c>
      <c r="AO23" s="123">
        <f>AN23/AN24*10+BA23</f>
        <v>4.9806451612903224</v>
      </c>
      <c r="AP23" s="123">
        <f>AO23*10000000+BI23*100+AM23/AM24*10+AI23/AI24*1++IF(AQ23=0,ROW(),AQ23)/2000000</f>
        <v>49806557.57102567</v>
      </c>
      <c r="AQ23" s="126">
        <f>VLOOKUP(AE23,db_fifarank,2,FALSE)</f>
        <v>1498.35</v>
      </c>
      <c r="AR23" s="125">
        <f>AP23/AP24</f>
        <v>0.55340612660145205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2</v>
      </c>
      <c r="AW23" s="126" cm="1">
        <f t="array" ref="AW23">SUMPRODUCT(($E$7:$E$78=AE23)*($U$7:$U$78)*($G$7:$G$78))+SUMPRODUCT(($H$7:$H$78=AE23)*($U$7:$U$78)*($F$7:$F$78))</f>
        <v>2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50.666666666666664</v>
      </c>
      <c r="BA23" s="126">
        <f>AZ23/AZ24</f>
        <v>0.98064516129032253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2</v>
      </c>
      <c r="BE23" s="126" cm="1">
        <f t="array" ref="BE23">SUMPRODUCT(($E$7:$E$78=AE23)*($X$7:$X$78)*($G$7:$G$78))+SUMPRODUCT(($H$7:$H$78=AE23)*($X$7:$X$78)*($F$7:$F$78))</f>
        <v>2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50.666666666666664</v>
      </c>
      <c r="BI23" s="126">
        <f>BH23/BH24</f>
        <v>0.98064516129032253</v>
      </c>
      <c r="BK23" s="142"/>
      <c r="BL23" s="26" t="str">
        <f>AS21</f>
        <v>Scotland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8</v>
      </c>
      <c r="AL24" s="123">
        <f>MIN(AL20:AL23)</f>
        <v>-8</v>
      </c>
      <c r="AM24" s="123">
        <f>MAX(AM20:AM23)+1</f>
        <v>14</v>
      </c>
      <c r="AN24" s="123">
        <f>MAX(AN20:AN23)+1</f>
        <v>10</v>
      </c>
      <c r="AO24" s="123">
        <f>MAX(AO20:AO23)+1</f>
        <v>10</v>
      </c>
      <c r="AP24" s="123">
        <f>MAX(AP20:AP23)+1</f>
        <v>90000011.161594868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3</v>
      </c>
      <c r="AL26" s="123">
        <f>AI26-AJ26</f>
        <v>3</v>
      </c>
      <c r="AM26" s="123">
        <f>AL26-AL30</f>
        <v>7</v>
      </c>
      <c r="AN26" s="123">
        <f>AF26*3+AG26</f>
        <v>7</v>
      </c>
      <c r="AO26" s="123">
        <f>AN26/AN30*10+BA26</f>
        <v>9.7401639344262296</v>
      </c>
      <c r="AP26" s="123">
        <f>AO26*10000000+BI26*100+AM26/AM30*10+AI26/AI30*1++IF(AQ26=0,ROW(),AQ26)/2000000</f>
        <v>97401746.889270082</v>
      </c>
      <c r="AQ26" s="126">
        <f>VLOOKUP(AE26,db_fifarank,2,FALSE)</f>
        <v>1673.13</v>
      </c>
      <c r="AR26" s="125">
        <f>AP26/AP30</f>
        <v>0.99999997704277288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2</v>
      </c>
      <c r="AW26" s="126" cm="1">
        <f t="array" ref="AW26">SUMPRODUCT(($E$7:$E$78=AE26)*($U$7:$U$78)*($G$7:$G$78))+SUMPRODUCT(($H$7:$H$78=AE26)*($U$7:$U$78)*($F$7:$F$78))</f>
        <v>2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100.66666666666667</v>
      </c>
      <c r="BA26" s="126">
        <f>AZ26/AZ30</f>
        <v>0.99016393442622952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2</v>
      </c>
      <c r="BE26" s="126" cm="1">
        <f t="array" ref="BE26">SUMPRODUCT(($E$7:$E$78=AE26)*($X$7:$X$78)*($G$7:$G$78))+SUMPRODUCT(($H$7:$H$78=AE26)*($X$7:$X$78)*($F$7:$F$78))</f>
        <v>2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100.66666666666667</v>
      </c>
      <c r="BI26" s="126">
        <f>BH26/BH30</f>
        <v>0.99016393442622952</v>
      </c>
      <c r="BK26" s="141">
        <v>83</v>
      </c>
      <c r="BL26" s="24" t="str">
        <f>AS69</f>
        <v>Colombia</v>
      </c>
      <c r="BM26" s="61">
        <v>1</v>
      </c>
      <c r="BN26" s="63">
        <v>1</v>
      </c>
      <c r="BO26" s="25"/>
      <c r="BP26" s="112">
        <f>IF(OR(BM26="",BM27="",AND(BN26="",BN27&lt;&gt;""),AND(BN27="",BN26&lt;&gt;""),AND(BO26="",BO27&lt;&gt;""),AND(BO27="",BO26&lt;&gt;"")),"",BM26*1000+BN26*10+BO26)</f>
        <v>1010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7 - 3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5</v>
      </c>
      <c r="AL27" s="123">
        <f>AI27-AJ27</f>
        <v>-4</v>
      </c>
      <c r="AM27" s="123">
        <f>AL27-AL30</f>
        <v>0</v>
      </c>
      <c r="AN27" s="123">
        <f>AF27*3+AG27</f>
        <v>1</v>
      </c>
      <c r="AO27" s="123">
        <f>AN27/AN30*10+BA27</f>
        <v>2.2336065573770494</v>
      </c>
      <c r="AP27" s="123">
        <f>AO27*10000000+BI27*100+AM27/AM30*10+AI27/AI30*1++IF(AQ27=0,ROW(),AQ27)/2000000</f>
        <v>22336164.060177978</v>
      </c>
      <c r="AQ27" s="126">
        <f>VLOOKUP(AE27,db_fifarank,2,FALSE)</f>
        <v>1503.5</v>
      </c>
      <c r="AR27" s="125">
        <f>AP27/AP30</f>
        <v>0.22931994816062351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100</v>
      </c>
      <c r="BA27" s="126">
        <f>AZ27/AZ30</f>
        <v>0.98360655737704916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100</v>
      </c>
      <c r="BI27" s="126">
        <f>BH27/BH30</f>
        <v>0.98360655737704916</v>
      </c>
      <c r="BK27" s="142"/>
      <c r="BL27" s="26" t="str">
        <f>AS75</f>
        <v>Croatia</v>
      </c>
      <c r="BM27" s="62">
        <v>1</v>
      </c>
      <c r="BN27" s="64">
        <v>0</v>
      </c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6 - 3</v>
      </c>
      <c r="P28" s="34">
        <f>L28*3+M28</f>
        <v>7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4</v>
      </c>
      <c r="AL28" s="123">
        <f>AI28-AJ28</f>
        <v>-3</v>
      </c>
      <c r="AM28" s="123">
        <f>AL28-AL30</f>
        <v>1</v>
      </c>
      <c r="AN28" s="123">
        <f>AF28*3+AG28</f>
        <v>1</v>
      </c>
      <c r="AO28" s="123">
        <f>AN28/AN30*10+BA28</f>
        <v>2.2336065573770494</v>
      </c>
      <c r="AP28" s="123">
        <f>AO28*10000000+BI28*100+AM28/AM30*10+AI28/AI30*1++IF(AQ28=0,ROW(),AQ28)/2000000</f>
        <v>22336165.171327677</v>
      </c>
      <c r="AQ28" s="126">
        <f>VLOOKUP(AE28,db_fifarank,2,FALSE)</f>
        <v>1580.67</v>
      </c>
      <c r="AR28" s="125">
        <f>AP28/AP30</f>
        <v>0.22931995956852644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100</v>
      </c>
      <c r="BA28" s="126">
        <f>AZ28/AZ30</f>
        <v>0.98360655737704916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100</v>
      </c>
      <c r="BI28" s="126">
        <f>BH28/BH30</f>
        <v>0.98360655737704916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1 - 4</v>
      </c>
      <c r="P29" s="34">
        <f>L29*3+M29</f>
        <v>1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3</v>
      </c>
      <c r="AL29" s="123">
        <f>AI29-AJ29</f>
        <v>4</v>
      </c>
      <c r="AM29" s="123">
        <f>AL29-AL30</f>
        <v>8</v>
      </c>
      <c r="AN29" s="123">
        <f>AF29*3+AG29</f>
        <v>7</v>
      </c>
      <c r="AO29" s="123">
        <f>AN29/AN30*10+BA29</f>
        <v>9.7401639344262296</v>
      </c>
      <c r="AP29" s="123">
        <f>AO29*10000000+BI29*100+AM29/AM30*10+AI29/AI30*1++IF(AQ29=0,ROW(),AQ29)/2000000</f>
        <v>97401748.125344157</v>
      </c>
      <c r="AQ29" s="126">
        <f>VLOOKUP(AE29,db_fifarank,2,FALSE)</f>
        <v>1599.04</v>
      </c>
      <c r="AR29" s="125">
        <f>AP29/AP30</f>
        <v>0.99999998973324389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2</v>
      </c>
      <c r="AW29" s="126" cm="1">
        <f t="array" ref="AW29">SUMPRODUCT(($E$7:$E$78=AE29)*($U$7:$U$78)*($G$7:$G$78))+SUMPRODUCT(($H$7:$H$78=AE29)*($U$7:$U$78)*($F$7:$F$78))</f>
        <v>2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100.66666666666667</v>
      </c>
      <c r="BA29" s="126">
        <f>AZ29/AZ30</f>
        <v>0.99016393442622952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2</v>
      </c>
      <c r="BE29" s="126" cm="1">
        <f t="array" ref="BE29">SUMPRODUCT(($E$7:$E$78=AE29)*($X$7:$X$78)*($G$7:$G$78))+SUMPRODUCT(($H$7:$H$78=AE29)*($X$7:$X$78)*($F$7:$F$78))</f>
        <v>2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100.66666666666667</v>
      </c>
      <c r="BI29" s="126">
        <f>BH29/BH30</f>
        <v>0.99016393442622952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1 - 5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1</v>
      </c>
      <c r="AH30" s="123">
        <f t="shared" si="15"/>
        <v>3</v>
      </c>
      <c r="AI30" s="123">
        <f>MAX(AI26:AI29)+1</f>
        <v>8</v>
      </c>
      <c r="AL30" s="123">
        <f>MIN(AL26:AL29)</f>
        <v>-4</v>
      </c>
      <c r="AM30" s="123">
        <f>MAX(AM26:AM29)+1</f>
        <v>9</v>
      </c>
      <c r="AN30" s="123">
        <f>MAX(AN26:AN29)+1</f>
        <v>8</v>
      </c>
      <c r="AO30" s="123">
        <f>MAX(AO26:AO29)+1</f>
        <v>10.74016393442623</v>
      </c>
      <c r="AP30" s="123">
        <f>MAX(AP26:AP29)+1</f>
        <v>97401749.125344157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3</v>
      </c>
      <c r="AW30" s="126">
        <f>MAX(AW26:AW29)-MIN(AW26:AW29)+1</f>
        <v>3</v>
      </c>
      <c r="AY30" s="126">
        <f>MAX(AY26:AY29)-MIN(AY26:AY29)+1</f>
        <v>1</v>
      </c>
      <c r="AZ30" s="126">
        <f>MAX(AZ26:AZ29)+1</f>
        <v>101.66666666666667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3</v>
      </c>
      <c r="BE30" s="126">
        <f>MAX(BE26:BE29)-MIN(BE26:BE29)+1</f>
        <v>3</v>
      </c>
      <c r="BG30" s="126">
        <f>MAX(BG26:BG29)-MIN(BG26:BG29)+1</f>
        <v>1</v>
      </c>
      <c r="BH30" s="126">
        <f>MAX(BH26:BH29)+1</f>
        <v>101.66666666666667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6</v>
      </c>
      <c r="AJ32" s="123">
        <f>SUMIF($E$7:$E$78,$AE32,$G$7:$G$78) + SUMIF($H$7:$H$78,$AE32,$F$7:$F$78)</f>
        <v>0</v>
      </c>
      <c r="AL32" s="123">
        <f>AI32-AJ32</f>
        <v>6</v>
      </c>
      <c r="AM32" s="123">
        <f>AL32-AL36</f>
        <v>12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90000010.088777274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6 - 0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6</v>
      </c>
      <c r="AL33" s="123">
        <f>AI33-AJ33</f>
        <v>-6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7.1924991138219923E-12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3 - 2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2</v>
      </c>
      <c r="AL34" s="123">
        <f>AI34-AJ34</f>
        <v>1</v>
      </c>
      <c r="AM34" s="123">
        <f>AL34-AL36</f>
        <v>7</v>
      </c>
      <c r="AN34" s="123">
        <f>AF34*3+AG34</f>
        <v>6</v>
      </c>
      <c r="AO34" s="123">
        <f>AN34/AN36*10+BA34</f>
        <v>6</v>
      </c>
      <c r="AP34" s="123">
        <f>AO34*10000000+BI34*100+AM34/AM36*10+AI34/AI36*1++IF(AQ34=0,ROW(),AQ34)/2000000</f>
        <v>60000005.813953303</v>
      </c>
      <c r="AQ34" s="126">
        <f>VLOOKUP(AE34,db_fifarank,2,FALSE)</f>
        <v>1532.98</v>
      </c>
      <c r="AR34" s="125">
        <f>AP34/AP36</f>
        <v>0.66666664912705909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2 - 3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0</v>
      </c>
      <c r="AH35" s="123">
        <f>COUNTIF($S$7:$T$78,"=" &amp; AE35 &amp; "_lose")</f>
        <v>2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3</v>
      </c>
      <c r="AL35" s="123">
        <f>AI35-AJ35</f>
        <v>-1</v>
      </c>
      <c r="AM35" s="123">
        <f>AL35-AL36</f>
        <v>5</v>
      </c>
      <c r="AN35" s="123">
        <f>AF35*3+AG35</f>
        <v>3</v>
      </c>
      <c r="AO35" s="123">
        <f>AN35/AN36*10+BA35</f>
        <v>3</v>
      </c>
      <c r="AP35" s="123">
        <f>AO35*10000000+BI35*100+AM35/AM36*10+AI35/AI36*1++IF(AQ35=0,ROW(),AQ35)/2000000</f>
        <v>30000004.132665526</v>
      </c>
      <c r="AQ35" s="126">
        <f>VLOOKUP(AE35,db_fifarank,2,FALSE)</f>
        <v>1594.78</v>
      </c>
      <c r="AR35" s="125">
        <f>AP35/AP36</f>
        <v>0.3333333381822931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2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0 - 6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2</v>
      </c>
      <c r="W36" s="123">
        <f t="shared" si="4"/>
        <v>2</v>
      </c>
      <c r="X36" s="123">
        <f t="shared" si="9"/>
        <v>1</v>
      </c>
      <c r="Y36" s="123">
        <f t="shared" si="10"/>
        <v>2</v>
      </c>
      <c r="Z36" s="123">
        <f t="shared" si="11"/>
        <v>2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7</v>
      </c>
      <c r="AL36" s="123">
        <f>MIN(AL32:AL35)</f>
        <v>-6</v>
      </c>
      <c r="AM36" s="123">
        <f>MAX(AM32:AM35)+1</f>
        <v>13</v>
      </c>
      <c r="AN36" s="123">
        <f>MAX(AN32:AN35)+1</f>
        <v>10</v>
      </c>
      <c r="AO36" s="123">
        <f>MAX(AO32:AO35)+1</f>
        <v>10</v>
      </c>
      <c r="AP36" s="123">
        <f>MAX(AP32:AP35)+1</f>
        <v>90000011.088777274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3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1</v>
      </c>
      <c r="AL38" s="123">
        <f>AI38-AJ38</f>
        <v>4</v>
      </c>
      <c r="AM38" s="123">
        <f>AL38-AL42</f>
        <v>10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90000009.925121352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Norway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5 - 1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2</v>
      </c>
      <c r="AL39" s="123">
        <f>AI39-AJ39</f>
        <v>2</v>
      </c>
      <c r="AM39" s="123">
        <f>AL39-AL42</f>
        <v>8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60000007.940224156</v>
      </c>
      <c r="AQ39" s="126">
        <f>VLOOKUP(AE39,db_fifarank,2,FALSE)</f>
        <v>1660.43</v>
      </c>
      <c r="AR39" s="125">
        <f>AP39/AP42</f>
        <v>0.66666667396455381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4 - 2</v>
      </c>
      <c r="P40" s="34">
        <f>L40*3+M40</f>
        <v>6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4</v>
      </c>
      <c r="AL40" s="123">
        <f>AI40-AJ40</f>
        <v>0</v>
      </c>
      <c r="AM40" s="123">
        <f>AL40-AL42</f>
        <v>6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30000006.121969506</v>
      </c>
      <c r="AQ40" s="126">
        <f>VLOOKUP(AE40,db_fifarank,2,FALSE)</f>
        <v>1514.77</v>
      </c>
      <c r="AR40" s="125">
        <f>AP40/AP42</f>
        <v>0.33333336089180099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4 - 4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6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8.2391656665123913E-12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0 - 6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6</v>
      </c>
      <c r="AL42" s="123">
        <f>MIN(AL38:AL41)</f>
        <v>-6</v>
      </c>
      <c r="AM42" s="123">
        <f>MAX(AM38:AM41)+1</f>
        <v>11</v>
      </c>
      <c r="AN42" s="123">
        <f>MAX(AN38:AN41)+1</f>
        <v>10</v>
      </c>
      <c r="AO42" s="123">
        <f>MAX(AO38:AO41)+1</f>
        <v>10</v>
      </c>
      <c r="AP42" s="123">
        <f>MAX(AP38:AP41)+1</f>
        <v>90000010.925121352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90000009.858010203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2</v>
      </c>
      <c r="AL45" s="123">
        <f>AI45-AJ45</f>
        <v>2</v>
      </c>
      <c r="AM45" s="123">
        <f>AL45-AL48</f>
        <v>6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60000006.572210193</v>
      </c>
      <c r="AQ45" s="126">
        <f>VLOOKUP(AE45,db_fifarank,2,FALSE)</f>
        <v>1563.24</v>
      </c>
      <c r="AR45" s="125">
        <f>AP45/AP48</f>
        <v>0.66666665926152002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3</v>
      </c>
      <c r="BU45" s="64"/>
      <c r="BV45" s="27"/>
      <c r="BW45" s="113">
        <f>IF(BW44="","",BT45*1000+BU45*10+BV45)</f>
        <v>3000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4 - 2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5</v>
      </c>
      <c r="AL46" s="123">
        <f>AI46-AJ46</f>
        <v>-4</v>
      </c>
      <c r="AM46" s="123">
        <f>AL46-AL48</f>
        <v>0</v>
      </c>
      <c r="AN46" s="123">
        <f>AF46*3+AG46</f>
        <v>1</v>
      </c>
      <c r="AO46" s="123">
        <f>AN46/AN48*10+BA46</f>
        <v>1.9805825242718447</v>
      </c>
      <c r="AP46" s="123">
        <f>AO46*10000000+BI46*100+AM46/AM48*10+AI46/AI48*1++IF(AQ46=0,ROW(),AQ46)/2000000</f>
        <v>19805923.444635667</v>
      </c>
      <c r="AQ46" s="126">
        <f>VLOOKUP(AE46,db_fifarank,2,FALSE)</f>
        <v>1615.3</v>
      </c>
      <c r="AR46" s="125">
        <f>AP46/AP48</f>
        <v>0.22006578950176756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41">
        <v>78</v>
      </c>
      <c r="BL46" s="24" t="str">
        <f>AS33</f>
        <v>Ivory Coast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1 - 4</v>
      </c>
      <c r="P47" s="34">
        <f>L47*3+M47</f>
        <v>1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4</v>
      </c>
      <c r="AL47" s="123">
        <f>AI47-AJ47</f>
        <v>-3</v>
      </c>
      <c r="AM47" s="123">
        <f>AL47-AL48</f>
        <v>1</v>
      </c>
      <c r="AN47" s="123">
        <f>AF47*3+AG47</f>
        <v>1</v>
      </c>
      <c r="AO47" s="123">
        <f>AN47/AN48*10+BA47</f>
        <v>1.9805825242718447</v>
      </c>
      <c r="AP47" s="123">
        <f>AO47*10000000+BI47*100+AM47/AM48*10+AI47/AI48*1++IF(AQ47=0,ROW(),AQ47)/2000000</f>
        <v>19805924.4444688</v>
      </c>
      <c r="AQ47" s="126">
        <f>VLOOKUP(AE47,db_fifarank,2,FALSE)</f>
        <v>1281.57</v>
      </c>
      <c r="AR47" s="125">
        <f>AP47/AP48</f>
        <v>0.22006580061102324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4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1 - 5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7</v>
      </c>
      <c r="AL48" s="123">
        <f>MIN(AL44:AL47)</f>
        <v>-4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90000010.858010203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Norway</v>
      </c>
      <c r="CA48" s="61">
        <v>1</v>
      </c>
      <c r="CB48" s="63">
        <v>1</v>
      </c>
      <c r="CC48" s="25"/>
      <c r="CD48" s="112">
        <f>IF(OR(CA48="",CA49="",AND(CB48="",CB49&lt;&gt;""),AND(CB49="",CB48&lt;&gt;""),AND(CC48="",CC49&lt;&gt;""),AND(CC49="",CC48&lt;&gt;"")),"",CA48*1000+CB48*10+CC48)</f>
        <v>1010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2</v>
      </c>
      <c r="CP48" s="63">
        <v>1</v>
      </c>
      <c r="CQ48" s="25"/>
      <c r="CR48" s="111">
        <f>IF(OR(CO48="",CO49="",AND(CP48="",CP49&lt;&gt;""),AND(CP49="",CP48&lt;&gt;""),AND(CQ48="",CQ49&lt;&gt;""),AND(CQ49="",CQ48&lt;&gt;"")),"",CO48*1000+CP48*10+CQ48)</f>
        <v>2010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1</v>
      </c>
      <c r="CB49" s="64">
        <v>0</v>
      </c>
      <c r="CC49" s="27"/>
      <c r="CD49" s="113">
        <f>IF(CD48="","",CA49*1000+CB49*10+CC49)</f>
        <v>1000</v>
      </c>
      <c r="CK49" s="114"/>
      <c r="CL49" s="115"/>
      <c r="CM49" s="142"/>
      <c r="CN49" s="26" t="str">
        <f>IF(CK55&gt;CK56,CG56,IF(CK55&lt;CK56,CG55,""))</f>
        <v>Portugal</v>
      </c>
      <c r="CO49" s="62">
        <v>2</v>
      </c>
      <c r="CP49" s="64">
        <v>0</v>
      </c>
      <c r="CQ49" s="27"/>
      <c r="CR49" s="111">
        <f>IF(CR48="","",CO49*1000+CP49*10+CQ49)</f>
        <v>2000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0</v>
      </c>
      <c r="AL50" s="123">
        <f>AI50-AJ50</f>
        <v>8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90000010.175541386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8 - 0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5</v>
      </c>
      <c r="AL51" s="123">
        <f>AI51-AJ51</f>
        <v>-5</v>
      </c>
      <c r="AM51" s="123">
        <f>AL51-AL54</f>
        <v>0</v>
      </c>
      <c r="AN51" s="123">
        <f>AF51*3+AG51</f>
        <v>1</v>
      </c>
      <c r="AO51" s="123">
        <f>AN51/AN54*10+BA51</f>
        <v>1.9803921568627452</v>
      </c>
      <c r="AP51" s="123">
        <f>AO51*10000000+BI51*100+AM51/AM54*10+AI51/AI54*1++IF(AQ51=0,ROW(),AQ51)/2000000</f>
        <v>19804019.608526204</v>
      </c>
      <c r="AQ51" s="126">
        <f>VLOOKUP(AE51,db_fifarank,2,FALSE)</f>
        <v>1366.13</v>
      </c>
      <c r="AR51" s="125">
        <f>AP51/AP54</f>
        <v>0.22004463499342533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</v>
      </c>
      <c r="BA51" s="126">
        <f>AZ51/AZ54</f>
        <v>0.98039215686274506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</v>
      </c>
      <c r="BI51" s="126">
        <f>BH51/BH54</f>
        <v>0.98039215686274506</v>
      </c>
      <c r="BK51" s="142"/>
      <c r="BL51" s="26" t="str">
        <f>IF(group_round_completed,VLOOKUP('3rd places'!D3,AK80:AS91,9,FALSE),"3rd Group C/E/F/H/I")</f>
        <v>Ecuador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5</v>
      </c>
      <c r="AL52" s="123">
        <f>AI52-AJ52</f>
        <v>-5</v>
      </c>
      <c r="AM52" s="123">
        <f>AL52-AL54</f>
        <v>0</v>
      </c>
      <c r="AN52" s="123">
        <f>AF52*3+AG52</f>
        <v>1</v>
      </c>
      <c r="AO52" s="123">
        <f>AN52/AN54*10+BA52</f>
        <v>1.9803921568627452</v>
      </c>
      <c r="AP52" s="123">
        <f>AO52*10000000+BI52*100+AM52/AM54*10+AI52/AI54*1++IF(AQ52=0,ROW(),AQ52)/2000000</f>
        <v>19804019.608553853</v>
      </c>
      <c r="AQ52" s="126">
        <f>VLOOKUP(AE52,db_fifarank,2,FALSE)</f>
        <v>1421.43</v>
      </c>
      <c r="AR52" s="125">
        <f>AP52/AP54</f>
        <v>0.22004463499373253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</v>
      </c>
      <c r="BA52" s="126">
        <f>AZ52/AZ54</f>
        <v>0.98039215686274506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</v>
      </c>
      <c r="BI52" s="126">
        <f>BH52/BH54</f>
        <v>0.98039215686274506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2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2000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0 - 5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2</v>
      </c>
      <c r="AL53" s="123">
        <f>AI53-AJ53</f>
        <v>2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60000005.445280984</v>
      </c>
      <c r="AQ53" s="126">
        <f>VLOOKUP(AE53,db_fifarank,2,FALSE)</f>
        <v>1673.07</v>
      </c>
      <c r="AR53" s="125">
        <f>AP53/AP54</f>
        <v>0.66666664438800338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3</v>
      </c>
      <c r="BU53" s="64"/>
      <c r="BV53" s="27"/>
      <c r="BW53" s="112">
        <f>IF(BW52="","",BT53*1000+BU53*10+BV53)</f>
        <v>3000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0 - 5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9</v>
      </c>
      <c r="AL54" s="123">
        <f>MIN(AL50:AL53)</f>
        <v>-5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90000011.175541386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Uzbekistan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Norway</v>
      </c>
      <c r="CH55" s="61">
        <v>2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3</v>
      </c>
      <c r="AL56" s="123">
        <f>AI56-AJ56</f>
        <v>5</v>
      </c>
      <c r="AM56" s="123">
        <f>AL56-AL60</f>
        <v>10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90000009.980736643</v>
      </c>
      <c r="AQ56" s="126">
        <f>VLOOKUP(AE56,db_fifarank,2,FALSE)</f>
        <v>1877.32</v>
      </c>
      <c r="AR56" s="125">
        <f>AP56/AP60</f>
        <v>0.99999998888889019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8 - 3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4</v>
      </c>
      <c r="AL57" s="123">
        <f>AI57-AJ57</f>
        <v>-1</v>
      </c>
      <c r="AM57" s="123">
        <f>AL57-AL60</f>
        <v>4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30000003.970541462</v>
      </c>
      <c r="AQ57" s="126">
        <f>VLOOKUP(AE57,db_fifarank,2,FALSE)</f>
        <v>1688.99</v>
      </c>
      <c r="AR57" s="125">
        <f>AP57/AP60</f>
        <v>0.3333333367810653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6 - 5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6</v>
      </c>
      <c r="AL58" s="123">
        <f>AI58-AJ58</f>
        <v>-5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0.11183468111111111</v>
      </c>
      <c r="AQ58" s="126">
        <f>VLOOKUP(AE58,db_fifarank,2,FALSE)</f>
        <v>1447.14</v>
      </c>
      <c r="AR58" s="125">
        <f>AP58/AP60</f>
        <v>1.2426074162929591E-9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3 - 4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5</v>
      </c>
      <c r="AL59" s="123">
        <f>AI59-AJ59</f>
        <v>1</v>
      </c>
      <c r="AM59" s="123">
        <f>AL59-AL60</f>
        <v>6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60000006.121987589</v>
      </c>
      <c r="AQ59" s="126">
        <f>VLOOKUP(AE59,db_fifarank,2,FALSE)</f>
        <v>1550.94</v>
      </c>
      <c r="AR59" s="125">
        <f>AP59/AP60</f>
        <v>0.66666665334996267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1 - 6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9</v>
      </c>
      <c r="AL60" s="123">
        <f>MIN(AL56:AL59)</f>
        <v>-5</v>
      </c>
      <c r="AM60" s="123">
        <f>MAX(AM56:AM59)+1</f>
        <v>11</v>
      </c>
      <c r="AN60" s="123">
        <f>MAX(AN56:AN59)+1</f>
        <v>10</v>
      </c>
      <c r="AO60" s="123">
        <f>MAX(AO56:AO59)+1</f>
        <v>10</v>
      </c>
      <c r="AP60" s="123">
        <f>MAX(AP56:AP59)+1</f>
        <v>90000010.980736643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United States</v>
      </c>
      <c r="BT61" s="62">
        <v>3</v>
      </c>
      <c r="BU61" s="64"/>
      <c r="BV61" s="27"/>
      <c r="BW61" s="113">
        <f>IF(BW60="","",BT61*1000+BU61*10+BV61)</f>
        <v>3000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1</v>
      </c>
      <c r="AL62" s="123">
        <f>AI62-AJ62</f>
        <v>6</v>
      </c>
      <c r="AM62" s="123">
        <f>AL62-AL66</f>
        <v>10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90000009.966846511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3</v>
      </c>
      <c r="AL63" s="123">
        <f>AI63-AJ63</f>
        <v>-2</v>
      </c>
      <c r="AM63" s="123">
        <f>AL63-AL66</f>
        <v>2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20000001.943963945</v>
      </c>
      <c r="AQ63" s="126">
        <f>VLOOKUP(AE63,db_fifarank,2,FALSE)</f>
        <v>1564.26</v>
      </c>
      <c r="AR63" s="125">
        <f>AP63/AP66</f>
        <v>0.22222221674318893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4 - 4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4</v>
      </c>
      <c r="AL64" s="123">
        <f>AI64-AJ64</f>
        <v>0</v>
      </c>
      <c r="AM64" s="123">
        <f>AL64-AL66</f>
        <v>4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40000004.137160361</v>
      </c>
      <c r="AQ64" s="126">
        <f>VLOOKUP(AE64,db_fifarank,2,FALSE)</f>
        <v>1593.45</v>
      </c>
      <c r="AR64" s="125">
        <f>AP64/AP66</f>
        <v>0.44444443625562718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United States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1 - 3</v>
      </c>
      <c r="P65" s="34">
        <f>L65*3+M65</f>
        <v>2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2</v>
      </c>
      <c r="W65" s="123">
        <f t="shared" si="22"/>
        <v>2</v>
      </c>
      <c r="X65" s="123">
        <f t="shared" si="9"/>
        <v>1</v>
      </c>
      <c r="Y65" s="123">
        <f t="shared" si="10"/>
        <v>2</v>
      </c>
      <c r="Z65" s="123">
        <f t="shared" si="11"/>
        <v>2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4</v>
      </c>
      <c r="AL65" s="123">
        <f>AI65-AJ65</f>
        <v>-4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10000000.000695726</v>
      </c>
      <c r="AQ65" s="126">
        <f>VLOOKUP(AE65,db_fifarank,2,FALSE)</f>
        <v>1391.45</v>
      </c>
      <c r="AR65" s="125">
        <f>AP65/AP66</f>
        <v>0.11111109757952636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0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0 - 4</v>
      </c>
      <c r="P66" s="37">
        <f>L66*3+M66</f>
        <v>1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0</v>
      </c>
      <c r="W66" s="123">
        <f t="shared" si="22"/>
        <v>0</v>
      </c>
      <c r="X66" s="123">
        <f t="shared" si="9"/>
        <v>1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8</v>
      </c>
      <c r="AL66" s="123">
        <f>MIN(AL62:AL65)</f>
        <v>-4</v>
      </c>
      <c r="AM66" s="123">
        <f>MAX(AM62:AM65)+1</f>
        <v>11</v>
      </c>
      <c r="AN66" s="123">
        <f>MAX(AN62:AN65)+1</f>
        <v>10</v>
      </c>
      <c r="AO66" s="123">
        <f>MAX(AO62:AO65)+1</f>
        <v>10</v>
      </c>
      <c r="AP66" s="123">
        <f>MAX(AP62:AP65)+1</f>
        <v>90000010.966846511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0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2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Senegal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1</v>
      </c>
      <c r="AL68" s="123">
        <f>AI68-AJ68</f>
        <v>9</v>
      </c>
      <c r="AM68" s="123">
        <f>AL68-AL72</f>
        <v>14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90000010.243306145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Senegal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France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10 - 1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5</v>
      </c>
      <c r="AL69" s="123">
        <f>AI69-AJ69</f>
        <v>-5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7.391749999999999E-4</v>
      </c>
      <c r="AQ69" s="126">
        <f>VLOOKUP(AE69,db_fifarank,2,FALSE)</f>
        <v>1478.35</v>
      </c>
      <c r="AR69" s="125">
        <f>AP69/AP72</f>
        <v>8.2130545295345942E-12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3 - 3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5</v>
      </c>
      <c r="AL70" s="123">
        <f>AI70-AJ70</f>
        <v>-4</v>
      </c>
      <c r="AM70" s="123">
        <f>AL70-AL72</f>
        <v>1</v>
      </c>
      <c r="AN70" s="123">
        <f>AF70*3+AG70</f>
        <v>3</v>
      </c>
      <c r="AO70" s="123">
        <f>AN70/AN72*10+BA70</f>
        <v>3</v>
      </c>
      <c r="AP70" s="123">
        <f>AO70*10000000+BI70*100+AM70/AM72*10+AI70/AI72*1++IF(AQ70=0,ROW(),AQ70)/2000000</f>
        <v>30000000.758308429</v>
      </c>
      <c r="AQ70" s="126">
        <f>VLOOKUP(AE70,db_fifarank,2,FALSE)</f>
        <v>1465.34</v>
      </c>
      <c r="AR70" s="125">
        <f>AP70/AP72</f>
        <v>0.3333333001171121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1 - 5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0</v>
      </c>
      <c r="W71" s="123">
        <f t="shared" si="22"/>
        <v>0</v>
      </c>
      <c r="X71" s="123">
        <f t="shared" si="9"/>
        <v>1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3</v>
      </c>
      <c r="AJ71" s="123">
        <f>SUMIF($E$7:$E$78,$AE71,$G$7:$G$78) + SUMIF($H$7:$H$78,$AE71,$F$7:$F$78)</f>
        <v>3</v>
      </c>
      <c r="AL71" s="123">
        <f>AI71-AJ71</f>
        <v>0</v>
      </c>
      <c r="AM71" s="123">
        <f>AL71-AL72</f>
        <v>5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60000003.606907152</v>
      </c>
      <c r="AQ71" s="126">
        <f>VLOOKUP(AE71,db_fifarank,2,FALSE)</f>
        <v>1693.09</v>
      </c>
      <c r="AR71" s="125">
        <f>AP71/AP72</f>
        <v>0.66666662345966898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0 - 5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11</v>
      </c>
      <c r="AL72" s="123">
        <f>MIN(AL68:AL71)</f>
        <v>-5</v>
      </c>
      <c r="AM72" s="123">
        <f>MAX(AM68:AM71)+1</f>
        <v>15</v>
      </c>
      <c r="AN72" s="123">
        <f>MAX(AN68:AN71)+1</f>
        <v>10</v>
      </c>
      <c r="AO72" s="123">
        <f>MAX(AO68:AO71)+1</f>
        <v>10</v>
      </c>
      <c r="AP72" s="123">
        <f>MAX(AP68:AP71)+1</f>
        <v>90000011.243306145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1</v>
      </c>
      <c r="AL74" s="123">
        <f>AI74-AJ74</f>
        <v>5</v>
      </c>
      <c r="AM74" s="123">
        <f>AL74-AL78</f>
        <v>10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90000009.948964924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6 - 1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2</v>
      </c>
      <c r="AL75" s="123">
        <f>AI75-AJ75</f>
        <v>2</v>
      </c>
      <c r="AM75" s="123">
        <f>AL75-AL78</f>
        <v>7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60000006.935923479</v>
      </c>
      <c r="AQ75" s="126">
        <f>VLOOKUP(AE75,db_fifarank,2,FALSE)</f>
        <v>1717.07</v>
      </c>
      <c r="AR75" s="125">
        <f>AP75/AP78</f>
        <v>0.66666666262903973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4 - 2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4</v>
      </c>
      <c r="AL76" s="123">
        <f>AI76-AJ76</f>
        <v>-2</v>
      </c>
      <c r="AM76" s="123">
        <f>AL76-AL78</f>
        <v>3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30000003.01366017</v>
      </c>
      <c r="AQ76" s="126">
        <f>VLOOKUP(AE76,db_fifarank,2,FALSE)</f>
        <v>1346.31</v>
      </c>
      <c r="AR76" s="125">
        <f>AP76/AP78</f>
        <v>0.33333332626672524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2 - 4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6</v>
      </c>
      <c r="AL77" s="123">
        <f>AI77-AJ77</f>
        <v>-5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0.14362746285714284</v>
      </c>
      <c r="AQ77" s="126">
        <f>VLOOKUP(AE77,db_fifarank,2,FALSE)</f>
        <v>1540.64</v>
      </c>
      <c r="AR77" s="125">
        <f>AP77/AP78</f>
        <v>1.5958605042680239E-9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0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1 - 6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7</v>
      </c>
      <c r="AL78" s="123">
        <f>MIN(AL74:AL77)</f>
        <v>-5</v>
      </c>
      <c r="AM78" s="123">
        <f>MAX(AM74:AM77)+1</f>
        <v>11</v>
      </c>
      <c r="AN78" s="123">
        <f>MAX(AN74:AN77)+1</f>
        <v>10</v>
      </c>
      <c r="AO78" s="123">
        <f>MAX(AO74:AO77)+1</f>
        <v>10</v>
      </c>
      <c r="AP78" s="123">
        <f>MAX(AP74:AP77)+1</f>
        <v>90000010.948964924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8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4</v>
      </c>
      <c r="AN80" s="123">
        <f>VLOOKUP($AE80,$AE$8:$AQ$78,10,FALSE)</f>
        <v>2</v>
      </c>
      <c r="AP80" s="123">
        <f>AN80/AN92*10000+AM80/AM92*1000+AI80/AI92*100+IF(AQ80=0,ROW(),AQ80)/2000000</f>
        <v>4604.7626554519047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Morocco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5 - 4</v>
      </c>
      <c r="P81" s="98">
        <f>L81*3+M81</f>
        <v>4</v>
      </c>
      <c r="AD81" s="123">
        <f t="shared" ref="AD81:AD91" si="38">COUNTIF($AP$80:$AP$91,CONCATENATE("&gt;=",AP81))</f>
        <v>6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6445.2387881580953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Sweden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4 - 4</v>
      </c>
      <c r="P82" s="101">
        <f t="shared" ref="P82:P92" si="48">L82*3+M82</f>
        <v>3</v>
      </c>
      <c r="AD82" s="123">
        <f t="shared" si="38"/>
        <v>1</v>
      </c>
      <c r="AE82" s="124" t="str">
        <f>J23</f>
        <v>Morocco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5</v>
      </c>
      <c r="AJ82" s="123">
        <f t="shared" si="42"/>
        <v>4</v>
      </c>
      <c r="AK82" s="123" t="s">
        <v>3182</v>
      </c>
      <c r="AL82" s="123">
        <f t="shared" si="43"/>
        <v>1</v>
      </c>
      <c r="AM82" s="123">
        <f t="shared" si="44"/>
        <v>6</v>
      </c>
      <c r="AN82" s="123">
        <f t="shared" si="45"/>
        <v>4</v>
      </c>
      <c r="AP82" s="123">
        <f>AN82/AN92*10000+AM82/AM92*1000+AI82/AI92*100+IF(AQ82=0,ROW(),AQ82)/2000000</f>
        <v>8940.47706841119</v>
      </c>
      <c r="AQ82" s="126">
        <f t="shared" si="37"/>
        <v>1755.87</v>
      </c>
      <c r="AR82" s="125" t="str">
        <f t="shared" ref="AR82:AR91" si="50">AR81&amp;IF(AD82&lt;=8,RIGHT(AK82,1),"")</f>
        <v>ABC</v>
      </c>
      <c r="AS82" s="129" t="str">
        <f t="shared" si="46"/>
        <v>Morocco</v>
      </c>
      <c r="AT82" s="130" t="str">
        <f>"Ⓒ "&amp;AE82</f>
        <v>Ⓒ Morocco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Ⓘ Senegal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3 - 4</v>
      </c>
      <c r="P83" s="101">
        <f t="shared" si="48"/>
        <v>3</v>
      </c>
      <c r="AD83" s="123">
        <f t="shared" si="38"/>
        <v>10</v>
      </c>
      <c r="AE83" s="124" t="str">
        <f>J29</f>
        <v>Australia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1</v>
      </c>
      <c r="AJ83" s="123">
        <f t="shared" si="42"/>
        <v>4</v>
      </c>
      <c r="AK83" s="123" t="s">
        <v>3184</v>
      </c>
      <c r="AL83" s="123">
        <f t="shared" si="43"/>
        <v>-3</v>
      </c>
      <c r="AM83" s="123">
        <f t="shared" si="44"/>
        <v>2</v>
      </c>
      <c r="AN83" s="123">
        <f t="shared" si="45"/>
        <v>1</v>
      </c>
      <c r="AP83" s="123">
        <f>AN83/AN92*10000+AM83/AM92*1000+AI83/AI92*100+IF(AQ83=0,ROW(),AQ83)/2000000</f>
        <v>2302.3817427159524</v>
      </c>
      <c r="AQ83" s="126">
        <f t="shared" si="37"/>
        <v>1580.67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Ⓔ Ecuador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2 - 3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Ecuador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3</v>
      </c>
      <c r="AK84" s="123" t="s">
        <v>3185</v>
      </c>
      <c r="AL84" s="123">
        <f t="shared" si="43"/>
        <v>-1</v>
      </c>
      <c r="AM84" s="123">
        <f t="shared" si="44"/>
        <v>4</v>
      </c>
      <c r="AN84" s="123">
        <f t="shared" si="45"/>
        <v>3</v>
      </c>
      <c r="AP84" s="123">
        <f>AN84/AN92*10000+AM84/AM92*1000+AI84/AI92*100+IF(AQ84=0,ROW(),AQ84)/2000000</f>
        <v>6604.7627021519047</v>
      </c>
      <c r="AQ84" s="126">
        <f t="shared" si="37"/>
        <v>1594.78</v>
      </c>
      <c r="AR84" s="125" t="str">
        <f t="shared" si="50"/>
        <v>ABCE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Ⓛ Ghana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2 - 4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2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4</v>
      </c>
      <c r="AJ85" s="123">
        <f t="shared" si="42"/>
        <v>4</v>
      </c>
      <c r="AK85" s="123" t="s">
        <v>3186</v>
      </c>
      <c r="AL85" s="123">
        <f t="shared" si="43"/>
        <v>0</v>
      </c>
      <c r="AM85" s="123">
        <f t="shared" si="44"/>
        <v>5</v>
      </c>
      <c r="AN85" s="123">
        <f t="shared" si="45"/>
        <v>3</v>
      </c>
      <c r="AP85" s="123">
        <f>AN85/AN92*10000+AM85/AM92*1000+AI85/AI92*100+IF(AQ85=0,ROW(),AQ85)/2000000</f>
        <v>6780.9531383373815</v>
      </c>
      <c r="AQ85" s="126">
        <f t="shared" si="37"/>
        <v>1514.77</v>
      </c>
      <c r="AR85" s="125" t="str">
        <f t="shared" si="50"/>
        <v>ABCEF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Ⓑ Bosnia and Herzegovina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1 - 3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11</v>
      </c>
      <c r="AE86" s="124" t="str">
        <f>J47</f>
        <v>New Zealand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1</v>
      </c>
      <c r="AJ86" s="123">
        <f t="shared" si="42"/>
        <v>4</v>
      </c>
      <c r="AK86" s="123" t="s">
        <v>3187</v>
      </c>
      <c r="AL86" s="123">
        <f t="shared" si="43"/>
        <v>-3</v>
      </c>
      <c r="AM86" s="123">
        <f t="shared" si="44"/>
        <v>2</v>
      </c>
      <c r="AN86" s="123">
        <f t="shared" si="45"/>
        <v>1</v>
      </c>
      <c r="AP86" s="123">
        <f>AN86/AN92*10000+AM86/AM92*1000+AI86/AI92*100+IF(AQ86=0,ROW(),AQ86)/2000000</f>
        <v>2302.3815931659524</v>
      </c>
      <c r="AQ86" s="126">
        <f t="shared" si="37"/>
        <v>1281.57</v>
      </c>
      <c r="AR86" s="125" t="str">
        <f t="shared" si="50"/>
        <v>ABCEF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Ⓚ Uzbekistan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1 - 5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0</v>
      </c>
      <c r="AJ87" s="123">
        <f t="shared" si="42"/>
        <v>5</v>
      </c>
      <c r="AK87" s="123" t="s">
        <v>3188</v>
      </c>
      <c r="AL87" s="123">
        <f t="shared" si="43"/>
        <v>-5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2000.000710715</v>
      </c>
      <c r="AQ87" s="126">
        <f t="shared" si="37"/>
        <v>1421.43</v>
      </c>
      <c r="AR87" s="125" t="str">
        <f t="shared" si="50"/>
        <v>ABCEF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Ⓐ Czech Republic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2 - 3</v>
      </c>
      <c r="P88" s="101">
        <f t="shared" si="48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3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3</v>
      </c>
      <c r="AJ88" s="123">
        <f t="shared" si="42"/>
        <v>4</v>
      </c>
      <c r="AK88" s="123" t="s">
        <v>3189</v>
      </c>
      <c r="AL88" s="123">
        <f t="shared" si="43"/>
        <v>-1</v>
      </c>
      <c r="AM88" s="123">
        <f t="shared" si="44"/>
        <v>4</v>
      </c>
      <c r="AN88" s="123">
        <f t="shared" si="45"/>
        <v>3</v>
      </c>
      <c r="AP88" s="123">
        <f>AN88/AN92*10000+AM88/AM92*1000+AI88/AI92*100+IF(AQ88=0,ROW(),AQ88)/2000000</f>
        <v>6621.4294159235715</v>
      </c>
      <c r="AQ88" s="126">
        <f t="shared" si="37"/>
        <v>1688.99</v>
      </c>
      <c r="AR88" s="125" t="str">
        <f t="shared" si="50"/>
        <v>ABCEFI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Ⓙ Algeria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1 - 3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9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1</v>
      </c>
      <c r="AJ89" s="123">
        <f t="shared" si="42"/>
        <v>3</v>
      </c>
      <c r="AK89" s="123" t="s">
        <v>3190</v>
      </c>
      <c r="AL89" s="123">
        <f t="shared" si="43"/>
        <v>-2</v>
      </c>
      <c r="AM89" s="123">
        <f t="shared" si="44"/>
        <v>3</v>
      </c>
      <c r="AN89" s="123">
        <f t="shared" si="45"/>
        <v>2</v>
      </c>
      <c r="AP89" s="123">
        <f>AN89/AN92*10000+AM89/AM92*1000+AI89/AI92*100+IF(AQ89=0,ROW(),AQ89)/2000000</f>
        <v>4445.238877368095</v>
      </c>
      <c r="AQ89" s="126">
        <f t="shared" si="37"/>
        <v>1564.26</v>
      </c>
      <c r="AR89" s="125" t="str">
        <f t="shared" si="50"/>
        <v>ABCEFI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Australia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1 - 4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7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5</v>
      </c>
      <c r="AK90" s="123" t="s">
        <v>3191</v>
      </c>
      <c r="AL90" s="123">
        <f t="shared" si="43"/>
        <v>-4</v>
      </c>
      <c r="AM90" s="123">
        <f t="shared" si="44"/>
        <v>1</v>
      </c>
      <c r="AN90" s="123">
        <f t="shared" si="45"/>
        <v>3</v>
      </c>
      <c r="AP90" s="123">
        <f>AN90/AN92*10000+AM90/AM92*1000+AI90/AI92*100+IF(AQ90=0,ROW(),AQ90)/2000000</f>
        <v>6159.5245421938098</v>
      </c>
      <c r="AQ90" s="126">
        <f t="shared" si="37"/>
        <v>1465.34</v>
      </c>
      <c r="AR90" s="125" t="str">
        <f t="shared" si="50"/>
        <v>ABCEFIK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Ⓖ New Zealand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1 - 4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5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4</v>
      </c>
      <c r="AK91" s="123" t="s">
        <v>3192</v>
      </c>
      <c r="AL91" s="123">
        <f>VLOOKUP($AE91,$AE$8:$AQ$78,8,FALSE)</f>
        <v>-2</v>
      </c>
      <c r="AM91" s="123">
        <f t="shared" si="44"/>
        <v>3</v>
      </c>
      <c r="AN91" s="123">
        <f>VLOOKUP($AE91,$AE$8:$AQ$78,10,FALSE)</f>
        <v>3</v>
      </c>
      <c r="AP91" s="123">
        <f>AN91/AN92*10000+AM91/AM92*1000+AI91/AI92*100+IF(AQ91=0,ROW(),AQ91)/2000000</f>
        <v>6461.9054350597617</v>
      </c>
      <c r="AQ91" s="126">
        <f t="shared" si="37"/>
        <v>1346.31</v>
      </c>
      <c r="AR91" s="125" t="str">
        <f t="shared" si="50"/>
        <v>ABCEFIKL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6</v>
      </c>
      <c r="AL92" s="123">
        <f>MIN(AL80:AL91)</f>
        <v>-5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407</v>
      </c>
      <c r="C3" s="121" t="str">
        <f>'2026 World Cup'!AR91</f>
        <v>ABCEFIKL</v>
      </c>
      <c r="D3" s="121" t="str">
        <f>VLOOKUP($C3,$C$6:$K$500,2,FALSE)</f>
        <v>3E</v>
      </c>
      <c r="E3" s="121" t="str">
        <f>VLOOKUP($C3,$C$6:$K$500,3,FALSE)</f>
        <v>3I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CBE854-30C7-4E01-86A7-FB379CA6D6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cec4a-16e0-4c23-af47-b0328532aa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BE2884-D2E4-4453-9F0B-DA42A160AC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C9B4AA-D31E-408C-B260-2C486D7BE426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3dacec4a-16e0-4c23-af47-b0328532aa0c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Sara Seehuus</cp:lastModifiedBy>
  <cp:revision/>
  <dcterms:created xsi:type="dcterms:W3CDTF">2017-12-27T19:32:51Z</dcterms:created>
  <dcterms:modified xsi:type="dcterms:W3CDTF">2026-06-12T08:19:49Z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