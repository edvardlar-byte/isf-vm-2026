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Kampresultat/"/>
    </mc:Choice>
  </mc:AlternateContent>
  <xr:revisionPtr revIDLastSave="0" documentId="8_{FF69122E-29B6-4B87-9FC6-C0F111C2AF20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T25" i="3"/>
  <c r="S47" i="3"/>
  <c r="S67" i="3"/>
  <c r="S72" i="3"/>
  <c r="S70" i="3"/>
  <c r="T21" i="3"/>
  <c r="S42" i="3"/>
  <c r="S64" i="3"/>
  <c r="T41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 l="1"/>
  <c r="BH57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I56" i="3" s="1"/>
  <c r="AP56" i="3" s="1"/>
  <c r="BH78" i="3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9" i="3" l="1"/>
  <c r="AP59" i="3" s="1"/>
  <c r="BI58" i="3"/>
  <c r="AP58" i="3" s="1"/>
  <c r="BI57" i="3"/>
  <c r="AP57" i="3" s="1"/>
  <c r="BI20" i="3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60" i="3" l="1"/>
  <c r="AR57" i="3" s="1"/>
  <c r="AP72" i="3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P42" i="3"/>
  <c r="AR38" i="3" s="1"/>
  <c r="AP66" i="3"/>
  <c r="AR62" i="3" s="1"/>
  <c r="AP48" i="3"/>
  <c r="AR44" i="3" s="1"/>
  <c r="AP18" i="3"/>
  <c r="AR14" i="3" s="1"/>
  <c r="AP54" i="3"/>
  <c r="AR50" i="3" s="1"/>
  <c r="AR56" i="3" l="1"/>
  <c r="AR59" i="3"/>
  <c r="AR58" i="3"/>
  <c r="AR70" i="3"/>
  <c r="AR11" i="3"/>
  <c r="AR10" i="3"/>
  <c r="AR69" i="3"/>
  <c r="AR35" i="3"/>
  <c r="AR71" i="3"/>
  <c r="AR9" i="3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R16" i="3"/>
  <c r="AR17" i="3"/>
  <c r="AD59" i="3" l="1"/>
  <c r="AD56" i="3"/>
  <c r="M58" i="3" s="1"/>
  <c r="AD58" i="3"/>
  <c r="AD9" i="3"/>
  <c r="AD34" i="3"/>
  <c r="AD68" i="3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AD14" i="3"/>
  <c r="AD44" i="3"/>
  <c r="AD76" i="3"/>
  <c r="AD15" i="3"/>
  <c r="AD22" i="3"/>
  <c r="AD62" i="3"/>
  <c r="AD39" i="3"/>
  <c r="AD21" i="3"/>
  <c r="AD41" i="3"/>
  <c r="AD47" i="3"/>
  <c r="AD53" i="3"/>
  <c r="AD63" i="3"/>
  <c r="AD20" i="3"/>
  <c r="AD64" i="3"/>
  <c r="AD16" i="3"/>
  <c r="AD46" i="3"/>
  <c r="AD23" i="3"/>
  <c r="AD65" i="3"/>
  <c r="AD51" i="3"/>
  <c r="AD45" i="3"/>
  <c r="AD40" i="3"/>
  <c r="AD52" i="3"/>
  <c r="AD38" i="3"/>
  <c r="AD50" i="3"/>
  <c r="AD17" i="3"/>
  <c r="N59" i="3" l="1"/>
  <c r="O57" i="3"/>
  <c r="L58" i="3"/>
  <c r="P58" i="3" s="1"/>
  <c r="N60" i="3"/>
  <c r="J58" i="3"/>
  <c r="AS57" i="3" s="1"/>
  <c r="BL47" i="3" s="1"/>
  <c r="BS45" i="3" s="1"/>
  <c r="J60" i="3"/>
  <c r="L57" i="3"/>
  <c r="N57" i="3"/>
  <c r="M60" i="3"/>
  <c r="N58" i="3"/>
  <c r="O58" i="3"/>
  <c r="J59" i="3"/>
  <c r="AE88" i="3" s="1"/>
  <c r="AQ88" i="3" s="1"/>
  <c r="L59" i="3"/>
  <c r="O60" i="3"/>
  <c r="L60" i="3"/>
  <c r="M59" i="3"/>
  <c r="J57" i="3"/>
  <c r="AS56" i="3" s="1"/>
  <c r="BL14" i="3" s="1"/>
  <c r="O59" i="3"/>
  <c r="M57" i="3"/>
  <c r="N36" i="3"/>
  <c r="J33" i="3"/>
  <c r="AS32" i="3" s="1"/>
  <c r="BL10" i="3" s="1"/>
  <c r="O36" i="3"/>
  <c r="M35" i="3"/>
  <c r="O34" i="3"/>
  <c r="M70" i="3"/>
  <c r="L72" i="3"/>
  <c r="L70" i="3"/>
  <c r="J69" i="3"/>
  <c r="AS68" i="3" s="1"/>
  <c r="BL70" i="3" s="1"/>
  <c r="O71" i="3"/>
  <c r="O69" i="3"/>
  <c r="J70" i="3"/>
  <c r="AS69" i="3" s="1"/>
  <c r="BL26" i="3" s="1"/>
  <c r="BS28" i="3" s="1"/>
  <c r="N69" i="3"/>
  <c r="J71" i="3"/>
  <c r="AE90" i="3" s="1"/>
  <c r="AQ90" i="3" s="1"/>
  <c r="M71" i="3"/>
  <c r="M69" i="3"/>
  <c r="J72" i="3"/>
  <c r="L71" i="3"/>
  <c r="L69" i="3"/>
  <c r="N72" i="3"/>
  <c r="N70" i="3"/>
  <c r="N71" i="3"/>
  <c r="O72" i="3"/>
  <c r="O70" i="3"/>
  <c r="M72" i="3"/>
  <c r="L36" i="3"/>
  <c r="J36" i="3"/>
  <c r="N35" i="3"/>
  <c r="M34" i="3"/>
  <c r="N10" i="3"/>
  <c r="J10" i="3"/>
  <c r="AS9" i="3" s="1"/>
  <c r="BL18" i="3" s="1"/>
  <c r="S88" i="3" s="1"/>
  <c r="T88" i="3" s="1" a="1"/>
  <c r="T8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N75" i="3"/>
  <c r="J75" i="3"/>
  <c r="AS74" i="3" s="1"/>
  <c r="BL54" i="3" s="1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N30" i="3"/>
  <c r="N51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BS61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M53" i="3"/>
  <c r="J52" i="3"/>
  <c r="AS51" i="3" s="1"/>
  <c r="BL59" i="3" s="1"/>
  <c r="N23" i="3"/>
  <c r="L54" i="3"/>
  <c r="O53" i="3"/>
  <c r="M21" i="3"/>
  <c r="O54" i="3"/>
  <c r="M24" i="3"/>
  <c r="AL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BZ48" i="3" s="1"/>
  <c r="N54" i="3"/>
  <c r="N53" i="3"/>
  <c r="L22" i="3"/>
  <c r="J22" i="3"/>
  <c r="AS21" i="3" s="1"/>
  <c r="BL23" i="3" s="1"/>
  <c r="L53" i="3"/>
  <c r="O21" i="3"/>
  <c r="N64" i="3"/>
  <c r="L64" i="3"/>
  <c r="J42" i="3"/>
  <c r="L66" i="3"/>
  <c r="L15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M15" i="3"/>
  <c r="O15" i="3"/>
  <c r="J15" i="3"/>
  <c r="AS14" i="3" s="1"/>
  <c r="BL66" i="3" s="1"/>
  <c r="AN88" i="3" l="1"/>
  <c r="P60" i="3"/>
  <c r="P57" i="3"/>
  <c r="S86" i="3"/>
  <c r="T86" i="3" s="1" a="1"/>
  <c r="T86" i="3" s="1"/>
  <c r="AH88" i="3"/>
  <c r="AT88" i="3"/>
  <c r="AF88" i="3"/>
  <c r="AI88" i="3"/>
  <c r="K60" i="3"/>
  <c r="K59" i="3"/>
  <c r="K58" i="3"/>
  <c r="K57" i="3"/>
  <c r="P59" i="3"/>
  <c r="AJ88" i="3"/>
  <c r="AG88" i="3"/>
  <c r="P35" i="3"/>
  <c r="P33" i="3"/>
  <c r="P72" i="3"/>
  <c r="AT90" i="3"/>
  <c r="AF90" i="3"/>
  <c r="P69" i="3"/>
  <c r="P70" i="3"/>
  <c r="P71" i="3"/>
  <c r="K72" i="3"/>
  <c r="K69" i="3"/>
  <c r="K71" i="3"/>
  <c r="K36" i="3"/>
  <c r="K70" i="3"/>
  <c r="AL90" i="3"/>
  <c r="AJ90" i="3"/>
  <c r="P34" i="3"/>
  <c r="AN90" i="3"/>
  <c r="AI90" i="3"/>
  <c r="AH90" i="3"/>
  <c r="AG90" i="3"/>
  <c r="P12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AM84" i="3" l="1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J3" i="4"/>
  <c r="BL71" i="3" s="1"/>
  <c r="I3" i="4"/>
  <c r="BL15" i="3" s="1"/>
  <c r="D3" i="4"/>
  <c r="BL51" i="3" s="1"/>
  <c r="BS53" i="3"/>
  <c r="BS52" i="3"/>
  <c r="BZ49" i="3" s="1"/>
  <c r="CG55" i="3" s="1"/>
  <c r="CN49" i="3" s="1"/>
  <c r="BS69" i="3"/>
  <c r="BZ65" i="3" s="1"/>
  <c r="CG56" i="3" s="1"/>
  <c r="CN38" i="3" s="1"/>
  <c r="BS68" i="3"/>
  <c r="S91" i="3" l="1"/>
  <c r="T91" i="3" s="1" a="1"/>
  <c r="T91" i="3" s="1"/>
  <c r="BS37" i="3"/>
  <c r="S98" i="3" l="1"/>
  <c r="T98" i="3" s="1" a="1"/>
  <c r="T98" i="3" s="1"/>
  <c r="BZ33" i="3"/>
  <c r="U103" i="3" l="1"/>
  <c r="AC103" i="3" s="1" a="1"/>
  <c r="AC103" i="3" s="1"/>
  <c r="S103" i="3"/>
  <c r="T103" i="3" s="1" a="1"/>
  <c r="T103" i="3" s="1"/>
  <c r="CG24" i="3"/>
  <c r="S111" i="3" l="1"/>
  <c r="T111" i="3" s="1"/>
  <c r="CN4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<sst xmlns="http://schemas.openxmlformats.org/spreadsheetml/2006/main" count="9786" uniqueCount="3698">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</sst>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5" x14ac:dyDescent="0.35"/>
  <cols>
    <col min="1" max="1" width="24.1796875" bestFit="1" customWidth="1"/>
    <col min="2" max="42" width="14" customWidth="1"/>
  </cols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5">
      <c r="A145" s="1"/>
    </row>
    <row r="146" spans="1:42" x14ac:dyDescent="0.35">
      <c r="A146" s="1"/>
    </row>
    <row r="147" spans="1:42" x14ac:dyDescent="0.35">
      <c r="A147" s="1"/>
    </row>
    <row r="148" spans="1:42" x14ac:dyDescent="0.35">
      <c r="A148" s="1"/>
    </row>
    <row r="149" spans="1:42" x14ac:dyDescent="0.35">
      <c r="A149" s="1"/>
    </row>
    <row r="150" spans="1:42" x14ac:dyDescent="0.35">
      <c r="A150" s="1"/>
    </row>
    <row r="151" spans="1:42" x14ac:dyDescent="0.35">
      <c r="A151" s="1"/>
    </row>
    <row r="152" spans="1:42" x14ac:dyDescent="0.35">
      <c r="A152" s="1"/>
    </row>
    <row r="153" spans="1:42" x14ac:dyDescent="0.35">
      <c r="A153" s="1"/>
    </row>
    <row r="154" spans="1:42" x14ac:dyDescent="0.35">
      <c r="A154" s="1"/>
    </row>
    <row r="155" spans="1:42" x14ac:dyDescent="0.35">
      <c r="A155" s="1"/>
    </row>
    <row r="156" spans="1:42" x14ac:dyDescent="0.35">
      <c r="A156" s="1"/>
    </row>
    <row r="157" spans="1:42" x14ac:dyDescent="0.3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796875" defaultRowHeight="14.5" x14ac:dyDescent="0.35"/>
  <cols>
    <col min="1" max="1" width="1.1796875" style="10" customWidth="1"/>
    <col min="2" max="2" width="18.81640625" style="10" bestFit="1" customWidth="1"/>
    <col min="3" max="3" width="20.26953125" style="10" customWidth="1"/>
    <col min="4" max="4" width="9.1796875" style="10"/>
    <col min="5" max="5" width="1.1796875" style="10" customWidth="1"/>
    <col min="6" max="6" width="9.1796875" style="10"/>
    <col min="7" max="7" width="27.54296875" style="10" bestFit="1" customWidth="1"/>
    <col min="8" max="8" width="2.7265625" style="10" customWidth="1"/>
    <col min="9" max="9" width="1.1796875" style="10" customWidth="1"/>
    <col min="10" max="16384" width="9.1796875" style="10"/>
  </cols>
  <sheetData>
    <row r="1" spans="2:27" ht="7.5" customHeight="1" x14ac:dyDescent="0.35"/>
    <row r="2" spans="2:27" ht="16" thickBot="1" x14ac:dyDescent="0.4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5">
      <c r="B3" s="42"/>
      <c r="C3" s="43"/>
      <c r="D3" s="44"/>
      <c r="F3" s="42"/>
      <c r="G3" s="43"/>
      <c r="H3" s="44"/>
    </row>
    <row r="4" spans="2:27" x14ac:dyDescent="0.3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3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3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5">
      <c r="B11" s="54"/>
      <c r="C11" s="43"/>
      <c r="D11" s="44"/>
      <c r="F11" s="51"/>
      <c r="G11" s="52"/>
      <c r="H11" s="53"/>
    </row>
    <row r="12" spans="2:27" ht="15" customHeight="1" x14ac:dyDescent="0.3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5" x14ac:dyDescent="0.3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D1" zoomScaleNormal="100" workbookViewId="0">
      <selection activeCell="CS44" sqref="CS44"/>
    </sheetView>
  </sheetViews>
  <sheetFormatPr defaultColWidth="9.1796875" defaultRowHeight="14.5" x14ac:dyDescent="0.35"/>
  <cols>
    <col min="1" max="1" width="4.81640625" style="3" customWidth="1"/>
    <col min="2" max="2" width="6.1796875" style="3" customWidth="1"/>
    <col min="3" max="3" width="11.7265625" style="3" bestFit="1" customWidth="1"/>
    <col min="4" max="4" width="9" style="4" customWidth="1"/>
    <col min="5" max="5" width="22.54296875" style="5" customWidth="1"/>
    <col min="6" max="7" width="4.26953125" style="6" customWidth="1"/>
    <col min="8" max="8" width="22.54296875" style="7" customWidth="1"/>
    <col min="9" max="9" width="3.453125" style="2" customWidth="1"/>
    <col min="10" max="10" width="19.453125" style="8" customWidth="1"/>
    <col min="11" max="14" width="5.453125" style="9" customWidth="1"/>
    <col min="15" max="15" width="7.7265625" style="9" customWidth="1"/>
    <col min="16" max="16" width="6.7265625" style="9" customWidth="1"/>
    <col min="17" max="17" width="3.453125" style="68" customWidth="1"/>
    <col min="18" max="18" width="15.453125" style="123" hidden="1" customWidth="1"/>
    <col min="19" max="20" width="16" style="127" hidden="1" customWidth="1"/>
    <col min="21" max="28" width="4" style="123" hidden="1" customWidth="1"/>
    <col min="29" max="29" width="4.26953125" style="124" hidden="1" customWidth="1"/>
    <col min="30" max="30" width="5.453125" style="123" hidden="1" customWidth="1"/>
    <col min="31" max="31" width="13.453125" style="124" hidden="1" customWidth="1"/>
    <col min="32" max="36" width="5.453125" style="123" hidden="1" customWidth="1"/>
    <col min="37" max="39" width="6" style="123" hidden="1" customWidth="1"/>
    <col min="40" max="40" width="5.453125" style="123" hidden="1" customWidth="1"/>
    <col min="41" max="42" width="6" style="123" hidden="1" customWidth="1"/>
    <col min="43" max="43" width="7.1796875" style="125" hidden="1" customWidth="1"/>
    <col min="44" max="44" width="10" style="125" hidden="1" customWidth="1"/>
    <col min="45" max="45" width="15.26953125" style="125" hidden="1" customWidth="1"/>
    <col min="46" max="50" width="4.7265625" style="126" hidden="1" customWidth="1"/>
    <col min="51" max="51" width="9.1796875" style="125" hidden="1" customWidth="1"/>
    <col min="52" max="61" width="9.1796875" style="126" hidden="1" customWidth="1"/>
    <col min="62" max="62" width="9.1796875" style="112" hidden="1" customWidth="1"/>
    <col min="63" max="63" width="3.26953125" style="2" customWidth="1"/>
    <col min="64" max="64" width="19.7265625" style="2" customWidth="1"/>
    <col min="65" max="67" width="3" style="2" customWidth="1"/>
    <col min="68" max="69" width="2" style="111" customWidth="1"/>
    <col min="70" max="70" width="3.26953125" style="2" customWidth="1"/>
    <col min="71" max="71" width="19.7265625" style="2" customWidth="1"/>
    <col min="72" max="74" width="3" style="2" customWidth="1"/>
    <col min="75" max="76" width="2" style="111" customWidth="1"/>
    <col min="77" max="77" width="4" style="2" customWidth="1"/>
    <col min="78" max="78" width="19.7265625" style="2" customWidth="1"/>
    <col min="79" max="81" width="3" style="2" customWidth="1"/>
    <col min="82" max="83" width="2" style="111" customWidth="1"/>
    <col min="84" max="84" width="3.81640625" style="2" customWidth="1"/>
    <col min="85" max="85" width="19.7265625" style="2" customWidth="1"/>
    <col min="86" max="88" width="3" style="2" customWidth="1"/>
    <col min="89" max="90" width="2" style="111" customWidth="1"/>
    <col min="91" max="91" width="3.7265625" style="2" customWidth="1"/>
    <col min="92" max="92" width="19.7265625" style="2" customWidth="1"/>
    <col min="93" max="95" width="3" style="2" customWidth="1"/>
    <col min="96" max="96" width="2" style="111" customWidth="1"/>
    <col min="97" max="16384" width="9.1796875" style="2"/>
  </cols>
  <sheetData>
    <row r="1" spans="1:95" ht="46" x14ac:dyDescent="0.3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5"/>
    <row r="5" spans="1:95" x14ac:dyDescent="0.3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1</v>
      </c>
      <c r="AL8" s="123">
        <f>AI8-AJ8</f>
        <v>5</v>
      </c>
      <c r="AM8" s="123">
        <f>AL8-AL12</f>
        <v>8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90000009.746872261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6 - 1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5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10000000.28642915</v>
      </c>
      <c r="AQ9" s="126">
        <f>VLOOKUP(AE9,db_fifarank,2,FALSE)</f>
        <v>1429.73</v>
      </c>
      <c r="AR9" s="125">
        <f>AP9/AP12</f>
        <v>0.1111111010259149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4 - 4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1</v>
      </c>
      <c r="V10" s="123">
        <f t="shared" si="3"/>
        <v>1</v>
      </c>
      <c r="W10" s="123">
        <f t="shared" si="4"/>
        <v>1</v>
      </c>
      <c r="X10" s="123">
        <f t="shared" si="9"/>
        <v>1</v>
      </c>
      <c r="Y10" s="123">
        <f t="shared" si="10"/>
        <v>1</v>
      </c>
      <c r="Z10" s="123">
        <f t="shared" si="11"/>
        <v>1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4</v>
      </c>
      <c r="AL10" s="123">
        <f>AI10-AJ10</f>
        <v>0</v>
      </c>
      <c r="AM10" s="123">
        <f>AL10-AL12</f>
        <v>3</v>
      </c>
      <c r="AN10" s="123">
        <f>AF10*3+AG10</f>
        <v>4</v>
      </c>
      <c r="AO10" s="123">
        <f>AN10/AN12*10+BA10</f>
        <v>4</v>
      </c>
      <c r="AP10" s="123">
        <f>AO10*10000000+BI10*100+AM10/AM12*10+AI10/AI12*1++IF(AQ10=0,ROW(),AQ10)/2000000</f>
        <v>40000003.905556239</v>
      </c>
      <c r="AQ10" s="126">
        <f>VLOOKUP(AE10,db_fifarank,2,FALSE)</f>
        <v>1588.66</v>
      </c>
      <c r="AR10" s="125">
        <f>AP10/AP12</f>
        <v>0.44444443476854079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2 - 4</v>
      </c>
      <c r="P11" s="34">
        <f>L11*3+M11</f>
        <v>2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4</v>
      </c>
      <c r="AL11" s="123">
        <f>AI11-AJ11</f>
        <v>-2</v>
      </c>
      <c r="AM11" s="123">
        <f>AL11-AL12</f>
        <v>1</v>
      </c>
      <c r="AN11" s="123">
        <f>AF11*3+AG11</f>
        <v>2</v>
      </c>
      <c r="AO11" s="123">
        <f>AN11/AN12*10+BA11</f>
        <v>2</v>
      </c>
      <c r="AP11" s="123">
        <f>AO11*10000000+BI11*100+AM11/AM12*10+AI11/AI12*1++IF(AQ11=0,ROW(),AQ11)/2000000</f>
        <v>20000001.39757609</v>
      </c>
      <c r="AQ11" s="126">
        <f>VLOOKUP(AE11,db_fifarank,2,FALSE)</f>
        <v>1501.38</v>
      </c>
      <c r="AR11" s="125">
        <f>AP11/AP12</f>
        <v>0.22222221121535971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Morocco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2 - 5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3</v>
      </c>
      <c r="AI12" s="123">
        <f>MAX(AI8:AI11)+1</f>
        <v>7</v>
      </c>
      <c r="AL12" s="123">
        <f>MIN(AL8:AL11)</f>
        <v>-3</v>
      </c>
      <c r="AM12" s="123">
        <f>MAX(AM8:AM11)+1</f>
        <v>9</v>
      </c>
      <c r="AN12" s="123">
        <f>MAX(AN8:AN11)+1</f>
        <v>10</v>
      </c>
      <c r="AO12" s="123">
        <f>MAX(AO8:AO11)+1</f>
        <v>10</v>
      </c>
      <c r="AP12" s="123">
        <f>MAX(AP8:AP11)+1</f>
        <v>90000010.746872261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3</v>
      </c>
      <c r="G13" s="20">
        <v>2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3</v>
      </c>
      <c r="BU13" s="64"/>
      <c r="BV13" s="27"/>
      <c r="BW13" s="113">
        <f>IF(BW12="","",BT13*1000+BU13*10+BV13)</f>
        <v>3000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4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2</v>
      </c>
      <c r="AL14" s="123">
        <f>AI14-AJ14</f>
        <v>2</v>
      </c>
      <c r="AM14" s="123">
        <f>AL14-AL18</f>
        <v>8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60000006.654624395</v>
      </c>
      <c r="AQ14" s="126">
        <f>VLOOKUP(AE14,db_fifarank,2,FALSE)</f>
        <v>1556.48</v>
      </c>
      <c r="AR14" s="125">
        <f>AP14/AP18</f>
        <v>0.66666665833587258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2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7 - 1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5</v>
      </c>
      <c r="AL15" s="123">
        <f>AI15-AJ15</f>
        <v>-2</v>
      </c>
      <c r="AM15" s="123">
        <f>AL15-AL18</f>
        <v>4</v>
      </c>
      <c r="AN15" s="123">
        <f>AF15*3+AG15</f>
        <v>1</v>
      </c>
      <c r="AO15" s="123">
        <f>AN15/AN18*10+BA15</f>
        <v>1.9805825242718447</v>
      </c>
      <c r="AP15" s="123">
        <f>AO15*10000000+BI15*100+AM15/AM18*10+AI15/AI18*1++IF(AQ15=0,ROW(),AQ15)/2000000</f>
        <v>19805926.75358687</v>
      </c>
      <c r="AQ15" s="126">
        <f>VLOOKUP(AE15,db_fifarank,2,FALSE)</f>
        <v>1385.84</v>
      </c>
      <c r="AR15" s="125">
        <f>AP15/AP18</f>
        <v>0.22006582566005672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Turkey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3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4 - 2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7</v>
      </c>
      <c r="AL16" s="123">
        <f>AI16-AJ16</f>
        <v>-6</v>
      </c>
      <c r="AM16" s="123">
        <f>AL16-AL18</f>
        <v>0</v>
      </c>
      <c r="AN16" s="123">
        <f>AF16*3+AG16</f>
        <v>1</v>
      </c>
      <c r="AO16" s="123">
        <f>AN16/AN18*10+BA16</f>
        <v>1.9805825242718447</v>
      </c>
      <c r="AP16" s="123">
        <f>AO16*10000000+BI16*100+AM16/AM18*10+AI16/AI18*1++IF(AQ16=0,ROW(),AQ16)/2000000</f>
        <v>19805923.426698353</v>
      </c>
      <c r="AQ16" s="126">
        <f>VLOOKUP(AE16,db_fifarank,2,FALSE)</f>
        <v>1454.96</v>
      </c>
      <c r="AR16" s="125">
        <f>AP16/AP18</f>
        <v>0.22006578869463331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1</v>
      </c>
      <c r="AW16" s="126" cm="1">
        <f t="array" ref="AW16">SUMPRODUCT(($E$7:$E$78=AE16)*($U$7:$U$78)*($G$7:$G$78))+SUMPRODUCT(($H$7:$H$78=AE16)*($U$7:$U$78)*($F$7:$F$78))</f>
        <v>1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50.5</v>
      </c>
      <c r="BA16" s="126">
        <f>AZ16/AZ18</f>
        <v>0.98058252427184467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1</v>
      </c>
      <c r="BE16" s="126" cm="1">
        <f t="array" ref="BE16">SUMPRODUCT(($E$7:$E$78=AE16)*($X$7:$X$78)*($G$7:$G$78))+SUMPRODUCT(($H$7:$H$78=AE16)*($X$7:$X$78)*($F$7:$F$78))</f>
        <v>1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50.5</v>
      </c>
      <c r="BI16" s="126">
        <f>BH16/BH18</f>
        <v>0.98058252427184467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3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3</v>
      </c>
      <c r="G17" s="20">
        <v>0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3 - 5</v>
      </c>
      <c r="P17" s="34">
        <f>L17*3+M17</f>
        <v>1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1</v>
      </c>
      <c r="AL17" s="123">
        <f>AI17-AJ17</f>
        <v>6</v>
      </c>
      <c r="AM17" s="123">
        <f>AL17-AL18</f>
        <v>12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90000010.106593937</v>
      </c>
      <c r="AQ17" s="126">
        <f>VLOOKUP(AE17,db_fifarank,2,FALSE)</f>
        <v>1649.4</v>
      </c>
      <c r="AR17" s="125">
        <f>AP17/AP18</f>
        <v>0.9999999888888903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3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2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1 - 7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8</v>
      </c>
      <c r="AL18" s="123">
        <f>MIN(AL14:AL17)</f>
        <v>-6</v>
      </c>
      <c r="AM18" s="123">
        <f>MAX(AM14:AM17)+1</f>
        <v>13</v>
      </c>
      <c r="AN18" s="123">
        <f>MAX(AN14:AN17)+1</f>
        <v>10</v>
      </c>
      <c r="AO18" s="123">
        <f>MAX(AO14:AO17)+1</f>
        <v>10</v>
      </c>
      <c r="AP18" s="123">
        <f>MAX(AP14:AP17)+1</f>
        <v>90000011.106593937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Korea Republic</v>
      </c>
      <c r="BM18" s="61">
        <v>2</v>
      </c>
      <c r="BN18" s="63">
        <v>3</v>
      </c>
      <c r="BO18" s="25"/>
      <c r="BP18" s="112">
        <f>IF(OR(BM18="",BM19="",AND(BN18="",BN19&lt;&gt;""),AND(BN19="",BN18&lt;&gt;""),AND(BO18="",BO19&lt;&gt;""),AND(BO19="",BO18&lt;&gt;"")),"",BM18*1000+BN18*10+BO18)</f>
        <v>2030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2</v>
      </c>
      <c r="BN19" s="64">
        <v>2</v>
      </c>
      <c r="BO19" s="27"/>
      <c r="BP19" s="113">
        <f>IF(BP18="","",BM19*1000+BN19*10+BO19)</f>
        <v>2020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6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9</v>
      </c>
      <c r="AJ20" s="123">
        <f>SUMIF($E$7:$E$78,$AE20,$G$7:$G$78) + SUMIF($H$7:$H$78,$AE20,$F$7:$F$78)</f>
        <v>3</v>
      </c>
      <c r="AL20" s="123">
        <f>AI20-AJ20</f>
        <v>6</v>
      </c>
      <c r="AM20" s="123">
        <f>AL20-AL24</f>
        <v>15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90000010.27588059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2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9 - 3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2</v>
      </c>
      <c r="W21" s="123">
        <f t="shared" si="4"/>
        <v>2</v>
      </c>
      <c r="X21" s="123">
        <f t="shared" si="9"/>
        <v>1</v>
      </c>
      <c r="Y21" s="123">
        <f t="shared" si="10"/>
        <v>2</v>
      </c>
      <c r="Z21" s="123">
        <f t="shared" si="11"/>
        <v>2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3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4</v>
      </c>
      <c r="AL21" s="123">
        <f>AI21-AJ21</f>
        <v>1</v>
      </c>
      <c r="AM21" s="123">
        <f>AL21-AL24</f>
        <v>10</v>
      </c>
      <c r="AN21" s="123">
        <f>AF21*3+AG21</f>
        <v>4</v>
      </c>
      <c r="AO21" s="123">
        <f>AN21/AN24*10+BA21</f>
        <v>4.9805825242718447</v>
      </c>
      <c r="AP21" s="123">
        <f>AO21*10000000+BI21*100+AM21/AM24*10+AI21/AI24*1++IF(AQ21=0,ROW(),AQ21)/2000000</f>
        <v>49805930.051848799</v>
      </c>
      <c r="AQ21" s="126">
        <f>VLOOKUP(AE21,db_fifarank,2,FALSE)</f>
        <v>1755.87</v>
      </c>
      <c r="AR21" s="125">
        <f>AP21/AP24</f>
        <v>0.55339915346428914</v>
      </c>
      <c r="AS21" s="125" t="str">
        <f>IF(SUM(AF20:AH23)=12,J22,"2C")</f>
        <v>Scotland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Netherlands</v>
      </c>
      <c r="BT21" s="62">
        <v>3</v>
      </c>
      <c r="BU21" s="64"/>
      <c r="BV21" s="27"/>
      <c r="BW21" s="112">
        <f>IF(BW20="","",BT21*1000+BU21*10+BV21)</f>
        <v>3000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1</v>
      </c>
      <c r="G22" s="20">
        <v>1</v>
      </c>
      <c r="H22" s="80" t="str">
        <f>AE45</f>
        <v>Egypt</v>
      </c>
      <c r="J22" s="33" t="str">
        <f>VLOOKUP(2,AD20:AN23,2,FALSE)</f>
        <v>Scotland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5 - 3</v>
      </c>
      <c r="P22" s="34">
        <f>L22*3+M22</f>
        <v>4</v>
      </c>
      <c r="R22" s="123">
        <f>DATE(2026,6,15)+TIME(8,0,0)+gmt_delta</f>
        <v>46188.791666666672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1</v>
      </c>
      <c r="W22" s="123">
        <f t="shared" si="4"/>
        <v>1</v>
      </c>
      <c r="X22" s="123">
        <f t="shared" si="9"/>
        <v>1</v>
      </c>
      <c r="Y22" s="123">
        <f t="shared" si="10"/>
        <v>1</v>
      </c>
      <c r="Z22" s="123">
        <f t="shared" si="11"/>
        <v>1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9</v>
      </c>
      <c r="AL22" s="123">
        <f>AI22-AJ22</f>
        <v>-9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7.1761657675823521E-12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3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Morocco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5 - 4</v>
      </c>
      <c r="P23" s="34">
        <f>L23*3+M23</f>
        <v>4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2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3</v>
      </c>
      <c r="AL23" s="123">
        <f>AI23-AJ23</f>
        <v>2</v>
      </c>
      <c r="AM23" s="123">
        <f>AL23-AL24</f>
        <v>11</v>
      </c>
      <c r="AN23" s="123">
        <f>AF23*3+AG23</f>
        <v>4</v>
      </c>
      <c r="AO23" s="123">
        <f>AN23/AN24*10+BA23</f>
        <v>4.9805825242718447</v>
      </c>
      <c r="AP23" s="123">
        <f>AO23*10000000+BI23*100+AM23/AM24*10+AI23/AI24*1++IF(AQ23=0,ROW(),AQ23)/2000000</f>
        <v>49805930.676720046</v>
      </c>
      <c r="AQ23" s="126">
        <f>VLOOKUP(AE23,db_fifarank,2,FALSE)</f>
        <v>1498.35</v>
      </c>
      <c r="AR23" s="125">
        <f>AP23/AP24</f>
        <v>0.55339916040730219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1</v>
      </c>
      <c r="AW23" s="126" cm="1">
        <f t="array" ref="AW23">SUMPRODUCT(($E$7:$E$78=AE23)*($U$7:$U$78)*($G$7:$G$78))+SUMPRODUCT(($H$7:$H$78=AE23)*($U$7:$U$78)*($F$7:$F$78))</f>
        <v>1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50.5</v>
      </c>
      <c r="BA23" s="126">
        <f>AZ23/AZ24</f>
        <v>0.98058252427184467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1</v>
      </c>
      <c r="BE23" s="126" cm="1">
        <f t="array" ref="BE23">SUMPRODUCT(($E$7:$E$78=AE23)*($X$7:$X$78)*($G$7:$G$78))+SUMPRODUCT(($H$7:$H$78=AE23)*($X$7:$X$78)*($F$7:$F$78))</f>
        <v>1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50.5</v>
      </c>
      <c r="BI23" s="126">
        <f>BH23/BH24</f>
        <v>0.98058252427184467</v>
      </c>
      <c r="BK23" s="132"/>
      <c r="BL23" s="26" t="str">
        <f>AS21</f>
        <v>Scotland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4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4000</v>
      </c>
    </row>
    <row r="24" spans="1:95" x14ac:dyDescent="0.3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0 - 9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10</v>
      </c>
      <c r="AL24" s="123">
        <f>MIN(AL20:AL23)</f>
        <v>-9</v>
      </c>
      <c r="AM24" s="123">
        <f>MAX(AM20:AM23)+1</f>
        <v>16</v>
      </c>
      <c r="AN24" s="123">
        <f>MAX(AN20:AN23)+1</f>
        <v>10</v>
      </c>
      <c r="AO24" s="123">
        <f>MAX(AO20:AO23)+1</f>
        <v>10</v>
      </c>
      <c r="AP24" s="123">
        <f>MAX(AP20:AP23)+1</f>
        <v>90000011.27588059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Belgium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3</v>
      </c>
      <c r="AL26" s="123">
        <f>AI26-AJ26</f>
        <v>1</v>
      </c>
      <c r="AM26" s="123">
        <f>AL26-AL30</f>
        <v>2</v>
      </c>
      <c r="AN26" s="123">
        <f>AF26*3+AG26</f>
        <v>5</v>
      </c>
      <c r="AO26" s="123">
        <f>AN26/AN30*10+BA26</f>
        <v>9.3139158576051777</v>
      </c>
      <c r="AP26" s="123">
        <f>AO26*10000000+BI26*100+AM26/AM30*10+AI26/AI30*1++IF(AQ26=0,ROW(),AQ26)/2000000</f>
        <v>93139264.10180743</v>
      </c>
      <c r="AQ26" s="126">
        <f>VLOOKUP(AE26,db_fifarank,2,FALSE)</f>
        <v>1673.13</v>
      </c>
      <c r="AR26" s="125">
        <f>AP26/AP30</f>
        <v>0.99999998926338962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50.5</v>
      </c>
      <c r="BA26" s="126">
        <f>AZ26/AZ30</f>
        <v>0.98058252427184467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50.5</v>
      </c>
      <c r="BI26" s="126">
        <f>BH26/BH30</f>
        <v>0.98058252427184467</v>
      </c>
      <c r="BK26" s="131">
        <v>83</v>
      </c>
      <c r="BL26" s="24" t="str">
        <f>AS69</f>
        <v>Colombia</v>
      </c>
      <c r="BM26" s="61">
        <v>0</v>
      </c>
      <c r="BN26" s="63">
        <v>0</v>
      </c>
      <c r="BO26" s="25">
        <v>4</v>
      </c>
      <c r="BP26" s="112">
        <f>IF(OR(BM26="",BM27="",AND(BN26="",BN27&lt;&gt;""),AND(BN27="",BN26&lt;&gt;""),AND(BO26="",BO27&lt;&gt;""),AND(BO27="",BO26&lt;&gt;"")),"",BM26*1000+BN26*10+BO26)</f>
        <v>4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1</v>
      </c>
      <c r="M27" s="31">
        <f>VLOOKUP(1,AD26:AN29,4,FALSE)</f>
        <v>2</v>
      </c>
      <c r="N27" s="31">
        <f>VLOOKUP(1,AD26:AN29,5,FALSE)</f>
        <v>0</v>
      </c>
      <c r="O27" s="31" t="str">
        <f>VLOOKUP(1,AD26:AN29,6,FALSE) &amp; " - " &amp; VLOOKUP(1,AD26:AN29,7,FALSE)</f>
        <v>4 - 3</v>
      </c>
      <c r="P27" s="32">
        <f>L27*3+M27</f>
        <v>5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2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2</v>
      </c>
      <c r="AH27" s="123">
        <f>COUNTIF($S$7:$T$78,"=" &amp; AE27 &amp; "_lose")</f>
        <v>0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3</v>
      </c>
      <c r="AL27" s="123">
        <f>AI27-AJ27</f>
        <v>1</v>
      </c>
      <c r="AM27" s="123">
        <f>AL27-AL30</f>
        <v>2</v>
      </c>
      <c r="AN27" s="123">
        <f>AF27*3+AG27</f>
        <v>5</v>
      </c>
      <c r="AO27" s="123">
        <f>AN27/AN30*10+BA27</f>
        <v>9.3139158576051777</v>
      </c>
      <c r="AP27" s="123">
        <f>AO27*10000000+BI27*100+AM27/AM30*10+AI27/AI30*1++IF(AQ27=0,ROW(),AQ27)/2000000</f>
        <v>93139264.101722613</v>
      </c>
      <c r="AQ27" s="126">
        <f>VLOOKUP(AE27,db_fifarank,2,FALSE)</f>
        <v>1503.5</v>
      </c>
      <c r="AR27" s="125">
        <f>AP27/AP30</f>
        <v>0.99999998926247902</v>
      </c>
      <c r="AS27" s="125" t="str">
        <f>IF(SUM(AF26:AH29)=12,J28,"2D")</f>
        <v>Paraguay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32"/>
      <c r="BL27" s="26" t="str">
        <f>AS75</f>
        <v>Ghana</v>
      </c>
      <c r="BM27" s="62">
        <v>0</v>
      </c>
      <c r="BN27" s="64">
        <v>0</v>
      </c>
      <c r="BO27" s="27">
        <v>2</v>
      </c>
      <c r="BP27" s="113">
        <f>IF(BP26="","",BM27*1000+BN27*10+BO27)</f>
        <v>2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3</v>
      </c>
      <c r="G28" s="20">
        <v>1</v>
      </c>
      <c r="H28" s="80" t="str">
        <f>AE75</f>
        <v>Croatia</v>
      </c>
      <c r="J28" s="33" t="str">
        <f>VLOOKUP(2,AD26:AN29,2,FALSE)</f>
        <v>Paraguay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4 - 3</v>
      </c>
      <c r="P28" s="34">
        <f>L28*3+M28</f>
        <v>5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4</v>
      </c>
      <c r="AL28" s="123">
        <f>AI28-AJ28</f>
        <v>-1</v>
      </c>
      <c r="AM28" s="123">
        <f>AL28-AL30</f>
        <v>0</v>
      </c>
      <c r="AN28" s="123">
        <f>AF28*3+AG28</f>
        <v>2</v>
      </c>
      <c r="AO28" s="123">
        <f>AN28/AN30*10+BA28</f>
        <v>3.333333333333333</v>
      </c>
      <c r="AP28" s="123">
        <f>AO28*10000000+BI28*100+AM28/AM30*10+AI28/AI30*1++IF(AQ28=0,ROW(),AQ28)/2000000</f>
        <v>33333333.934123669</v>
      </c>
      <c r="AQ28" s="126">
        <f>VLOOKUP(AE28,db_fifarank,2,FALSE)</f>
        <v>1580.67</v>
      </c>
      <c r="AR28" s="125">
        <f>AP28/AP30</f>
        <v>0.35788701894617819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Turkey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4 - 5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3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0</v>
      </c>
      <c r="AH29" s="123">
        <f>COUNTIF($S$7:$T$78,"=" &amp; AE29 &amp; "_lose")</f>
        <v>2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5</v>
      </c>
      <c r="AL29" s="123">
        <f>AI29-AJ29</f>
        <v>-1</v>
      </c>
      <c r="AM29" s="123">
        <f>AL29-AL30</f>
        <v>0</v>
      </c>
      <c r="AN29" s="123">
        <f>AF29*3+AG29</f>
        <v>3</v>
      </c>
      <c r="AO29" s="123">
        <f>AN29/AN30*10+BA29</f>
        <v>5</v>
      </c>
      <c r="AP29" s="123">
        <f>AO29*10000000+BI29*100+AM29/AM30*10+AI29/AI30*1++IF(AQ29=0,ROW(),AQ29)/2000000</f>
        <v>50000000.800799519</v>
      </c>
      <c r="AQ29" s="126">
        <f>VLOOKUP(AE29,db_fifarank,2,FALSE)</f>
        <v>1599.04</v>
      </c>
      <c r="AR29" s="125">
        <f>AP29/AP30</f>
        <v>0.53683052734146208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1</v>
      </c>
      <c r="G30" s="20">
        <v>1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2</v>
      </c>
      <c r="N30" s="36">
        <f>VLOOKUP(4,AD26:AN29,5,FALSE)</f>
        <v>1</v>
      </c>
      <c r="O30" s="36" t="str">
        <f>VLOOKUP(4,AD26:AN29,6,FALSE) &amp; " - " &amp; VLOOKUP(4,AD26:AN29,7,FALSE)</f>
        <v>3 - 4</v>
      </c>
      <c r="P30" s="37">
        <f>L30*3+M30</f>
        <v>2</v>
      </c>
      <c r="R30" s="123">
        <f>DATE(2026,6,17)+TIME(15,0,0)+gmt_delta</f>
        <v>46191.083333333336</v>
      </c>
      <c r="S30" s="127" t="str">
        <f t="shared" si="1"/>
        <v>Uzbekistan_draw</v>
      </c>
      <c r="T30" s="127" t="str">
        <f t="shared" si="2"/>
        <v>Colombia_draw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0</v>
      </c>
      <c r="AF30" s="123">
        <f t="shared" ref="AF30:AH30" si="15">MAX(AF26:AF29)-MIN(AF26:AF29)+1</f>
        <v>2</v>
      </c>
      <c r="AG30" s="123">
        <f t="shared" si="15"/>
        <v>3</v>
      </c>
      <c r="AH30" s="123">
        <f t="shared" si="15"/>
        <v>3</v>
      </c>
      <c r="AI30" s="123">
        <f>MAX(AI26:AI29)+1</f>
        <v>5</v>
      </c>
      <c r="AL30" s="123">
        <f>MIN(AL26:AL29)</f>
        <v>-1</v>
      </c>
      <c r="AM30" s="123">
        <f>MAX(AM26:AM29)+1</f>
        <v>3</v>
      </c>
      <c r="AN30" s="123">
        <f>MAX(AN26:AN29)+1</f>
        <v>6</v>
      </c>
      <c r="AO30" s="123">
        <f>MAX(AO26:AO29)+1</f>
        <v>10.313915857605178</v>
      </c>
      <c r="AP30" s="123">
        <f>MAX(AP26:AP29)+1</f>
        <v>93139265.10180743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3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2</v>
      </c>
      <c r="AL32" s="123">
        <f>AI32-AJ32</f>
        <v>8</v>
      </c>
      <c r="AM32" s="123">
        <f>AL32-AL36</f>
        <v>19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90000010.409956098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10 - 2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11</v>
      </c>
      <c r="AL33" s="123">
        <f>AI33-AJ33</f>
        <v>-11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7.1924990881544576E-12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3</v>
      </c>
      <c r="CB33" s="64"/>
      <c r="CC33" s="27"/>
      <c r="CD33" s="112">
        <f>IF(CD32="","",CA33*1000+CB33*10+CC33)</f>
        <v>3000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7 - 4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7</v>
      </c>
      <c r="AJ34" s="123">
        <f>SUMIF($E$7:$E$78,$AE34,$G$7:$G$78) + SUMIF($H$7:$H$78,$AE34,$F$7:$F$78)</f>
        <v>4</v>
      </c>
      <c r="AL34" s="123">
        <f>AI34-AJ34</f>
        <v>3</v>
      </c>
      <c r="AM34" s="123">
        <f>AL34-AL36</f>
        <v>14</v>
      </c>
      <c r="AN34" s="123">
        <f>AF34*3+AG34</f>
        <v>6</v>
      </c>
      <c r="AO34" s="123">
        <f>AN34/AN36*10+BA34</f>
        <v>6</v>
      </c>
      <c r="AP34" s="123">
        <f>AO34*10000000+BI34*100+AM34/AM36*10+AI34/AI36*1++IF(AQ34=0,ROW(),AQ34)/2000000</f>
        <v>60000007.637130126</v>
      </c>
      <c r="AQ34" s="126">
        <f>VLOOKUP(AE34,db_fifarank,2,FALSE)</f>
        <v>1532.98</v>
      </c>
      <c r="AR34" s="125">
        <f>AP34/AP36</f>
        <v>0.66666666700547472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5 - 5</v>
      </c>
      <c r="P35" s="34">
        <f>L35*3+M35</f>
        <v>3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0</v>
      </c>
      <c r="AH35" s="123">
        <f>COUNTIF($S$7:$T$78,"=" &amp; AE35 &amp; "_lose")</f>
        <v>2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5</v>
      </c>
      <c r="AL35" s="123">
        <f>AI35-AJ35</f>
        <v>0</v>
      </c>
      <c r="AM35" s="123">
        <f>AL35-AL36</f>
        <v>11</v>
      </c>
      <c r="AN35" s="123">
        <f>AF35*3+AG35</f>
        <v>3</v>
      </c>
      <c r="AO35" s="123">
        <f>AN35/AN36*10+BA35</f>
        <v>3</v>
      </c>
      <c r="AP35" s="123">
        <f>AO35*10000000+BI35*100+AM35/AM36*10+AI35/AI36*1++IF(AQ35=0,ROW(),AQ35)/2000000</f>
        <v>30000005.955342844</v>
      </c>
      <c r="AQ35" s="126">
        <f>VLOOKUP(AE35,db_fifarank,2,FALSE)</f>
        <v>1594.78</v>
      </c>
      <c r="AR35" s="125">
        <f>AP35/AP36</f>
        <v>0.33333335724470969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Norway</v>
      </c>
      <c r="BM35" s="62">
        <v>2</v>
      </c>
      <c r="BN35" s="64"/>
      <c r="BO35" s="27"/>
      <c r="BP35" s="113">
        <f>IF(BP34="","",BM35*1000+BN35*10+BO35)</f>
        <v>2000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0 - 11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1</v>
      </c>
      <c r="W36" s="123">
        <f t="shared" si="4"/>
        <v>1</v>
      </c>
      <c r="X36" s="123">
        <f t="shared" si="9"/>
        <v>1</v>
      </c>
      <c r="Y36" s="123">
        <f t="shared" si="10"/>
        <v>1</v>
      </c>
      <c r="Z36" s="123">
        <f t="shared" si="11"/>
        <v>1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11</v>
      </c>
      <c r="AL36" s="123">
        <f>MIN(AL32:AL35)</f>
        <v>-11</v>
      </c>
      <c r="AM36" s="123">
        <f>MAX(AM32:AM35)+1</f>
        <v>20</v>
      </c>
      <c r="AN36" s="123">
        <f>MAX(AN32:AN35)+1</f>
        <v>10</v>
      </c>
      <c r="AO36" s="123">
        <f>MAX(AO32:AO35)+1</f>
        <v>10</v>
      </c>
      <c r="AP36" s="123">
        <f>MAX(AP32:AP35)+1</f>
        <v>90000011.409956098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Norway</v>
      </c>
      <c r="BT36" s="61">
        <v>2</v>
      </c>
      <c r="BU36" s="63">
        <v>2</v>
      </c>
      <c r="BV36" s="25"/>
      <c r="BW36" s="116">
        <f>IF(OR(BT36="",BT37="",AND(BU36="",BU37&lt;&gt;""),AND(BU37="",BU36&lt;&gt;""),AND(BV36="",BV37&lt;&gt;""),AND(BV37="",BV36&lt;&gt;"")),"",BT36*1000+BU36*10+BV36)</f>
        <v>2020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3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>
        <v>3</v>
      </c>
      <c r="BV37" s="27"/>
      <c r="BW37" s="112">
        <f>IF(BW36="","",BT37*1000+BU37*10+BV37)</f>
        <v>2030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0</v>
      </c>
      <c r="CP37" s="63">
        <v>1</v>
      </c>
      <c r="CQ37" s="25"/>
      <c r="CR37" s="111">
        <f>IF(OR(CO37="",CO38="",AND(CP37="",CP38&lt;&gt;""),AND(CP38="",CP37&lt;&gt;""),AND(CQ37="",CQ38&lt;&gt;""),AND(CQ38="",CQ37&lt;&gt;"")),"",CO37*1000+CP37*10+CQ37)</f>
        <v>10</v>
      </c>
    </row>
    <row r="38" spans="1:96" x14ac:dyDescent="0.3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Turkey_lose</v>
      </c>
      <c r="T38" s="127" t="str">
        <f t="shared" si="2"/>
        <v>Paraguay_win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-1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2</v>
      </c>
      <c r="AL38" s="123">
        <f>AI38-AJ38</f>
        <v>5</v>
      </c>
      <c r="AM38" s="123">
        <f>AL38-AL42</f>
        <v>8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87500009.764767826</v>
      </c>
      <c r="AQ38" s="126">
        <f>VLOOKUP(AE38,db_fifarank,2,FALSE)</f>
        <v>1757.87</v>
      </c>
      <c r="AR38" s="125">
        <f>AP38/AP42</f>
        <v>0.99999998857143002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Argentina</v>
      </c>
      <c r="CO38" s="62">
        <v>0</v>
      </c>
      <c r="CP38" s="64">
        <v>0</v>
      </c>
      <c r="CQ38" s="27"/>
      <c r="CR38" s="111">
        <f>IF(CR37="","",CO38*1000+CP38*10+CQ38)</f>
        <v>0</v>
      </c>
    </row>
    <row r="39" spans="1:96" x14ac:dyDescent="0.3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7 - 2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2</v>
      </c>
      <c r="AJ39" s="123">
        <f>SUMIF($E$7:$E$78,$AE39,$G$7:$G$78) + SUMIF($H$7:$H$78,$AE39,$F$7:$F$78)</f>
        <v>5</v>
      </c>
      <c r="AL39" s="123">
        <f>AI39-AJ39</f>
        <v>-3</v>
      </c>
      <c r="AM39" s="123">
        <f>AL39-AL42</f>
        <v>0</v>
      </c>
      <c r="AN39" s="123">
        <f>AF39*3+AG39</f>
        <v>2</v>
      </c>
      <c r="AO39" s="123">
        <f>AN39/AN42*10+BA39</f>
        <v>2.5</v>
      </c>
      <c r="AP39" s="123">
        <f>AO39*10000000+BI39*100+AM39/AM42*10+AI39/AI42*1++IF(AQ39=0,ROW(),AQ39)/2000000</f>
        <v>25000000.250830214</v>
      </c>
      <c r="AQ39" s="126">
        <f>VLOOKUP(AE39,db_fifarank,2,FALSE)</f>
        <v>1660.43</v>
      </c>
      <c r="AR39" s="125">
        <f>AP39/AP42</f>
        <v>0.28571425343065843</v>
      </c>
      <c r="AS39" s="125" t="str">
        <f>IF(SUM(AF38:AH41)=12,J40,"2F")</f>
        <v>Tunisia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Tunisia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4 - 3</v>
      </c>
      <c r="P40" s="34">
        <f>L40*3+M40</f>
        <v>5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6</v>
      </c>
      <c r="AL40" s="123">
        <f>AI40-AJ40</f>
        <v>-3</v>
      </c>
      <c r="AM40" s="123">
        <f>AL40-AL42</f>
        <v>0</v>
      </c>
      <c r="AN40" s="123">
        <f>AF40*3+AG40</f>
        <v>1</v>
      </c>
      <c r="AO40" s="123">
        <f>AN40/AN42*10+BA40</f>
        <v>1.25</v>
      </c>
      <c r="AP40" s="123">
        <f>AO40*10000000+BI40*100+AM40/AM42*10+AI40/AI42*1++IF(AQ40=0,ROW(),AQ40)/2000000</f>
        <v>12500000.375757385</v>
      </c>
      <c r="AQ40" s="126">
        <f>VLOOKUP(AE40,db_fifarank,2,FALSE)</f>
        <v>1514.77</v>
      </c>
      <c r="AR40" s="125">
        <f>AP40/AP42</f>
        <v>0.14285712957638347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2 - 5</v>
      </c>
      <c r="P41" s="34">
        <f>L41*3+M41</f>
        <v>2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2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2</v>
      </c>
      <c r="AH41" s="123">
        <f>COUNTIF($S$7:$T$78,"=" &amp; AE41 &amp; "_lose")</f>
        <v>0</v>
      </c>
      <c r="AI41" s="123">
        <f>SUMIF($E$7:$E$78,$AE41,$F$7:$F$78) + SUMIF($H$7:$H$78,$AE41,$G$7:$G$78)</f>
        <v>4</v>
      </c>
      <c r="AJ41" s="123">
        <f>SUMIF($E$7:$E$78,$AE41,$G$7:$G$78) + SUMIF($H$7:$H$78,$AE41,$F$7:$F$78)</f>
        <v>3</v>
      </c>
      <c r="AL41" s="123">
        <f>AI41-AJ41</f>
        <v>1</v>
      </c>
      <c r="AM41" s="123">
        <f>AL41-AL42</f>
        <v>4</v>
      </c>
      <c r="AN41" s="123">
        <f>AF41*3+AG41</f>
        <v>5</v>
      </c>
      <c r="AO41" s="123">
        <f>AN41/AN42*10+BA41</f>
        <v>6.25</v>
      </c>
      <c r="AP41" s="123">
        <f>AO41*10000000+BI41*100+AM41/AM42*10+AI41/AI42*1++IF(AQ41=0,ROW(),AQ41)/2000000</f>
        <v>62500004.945185974</v>
      </c>
      <c r="AQ41" s="126">
        <f>VLOOKUP(AE41,db_fifarank,2,FALSE)</f>
        <v>1483.05</v>
      </c>
      <c r="AR41" s="125">
        <f>AP41/AP42</f>
        <v>0.71428568292647354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0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3 - 6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3</v>
      </c>
      <c r="AI42" s="123">
        <f>MAX(AI38:AI41)+1</f>
        <v>8</v>
      </c>
      <c r="AL42" s="123">
        <f>MIN(AL38:AL41)</f>
        <v>-3</v>
      </c>
      <c r="AM42" s="123">
        <f>MAX(AM38:AM41)+1</f>
        <v>9</v>
      </c>
      <c r="AN42" s="123">
        <f>MAX(AN38:AN41)+1</f>
        <v>8</v>
      </c>
      <c r="AO42" s="123">
        <f>MAX(AO38:AO41)+1</f>
        <v>9.75</v>
      </c>
      <c r="AP42" s="123">
        <f>MAX(AP38:AP41)+1</f>
        <v>87500010.764767826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Tunisia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3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4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2</v>
      </c>
      <c r="AL44" s="123">
        <f>AI44-AJ44</f>
        <v>3</v>
      </c>
      <c r="AM44" s="123">
        <f>AL44-AL48</f>
        <v>7</v>
      </c>
      <c r="AN44" s="123">
        <f>AF44*3+AG44</f>
        <v>7</v>
      </c>
      <c r="AO44" s="123">
        <f>AN44/AN48*10+BA44</f>
        <v>9.735294117647058</v>
      </c>
      <c r="AP44" s="123">
        <f>AO44*10000000+BI44*100+AM44/AM48*10+AI44/AI48*1++IF(AQ44=0,ROW(),AQ44)/2000000</f>
        <v>97353049.290083021</v>
      </c>
      <c r="AQ44" s="126">
        <f>VLOOKUP(AE44,db_fifarank,2,FALSE)</f>
        <v>1734.71</v>
      </c>
      <c r="AR44" s="125">
        <f>AP44/AP48</f>
        <v>0.99999998972810822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1</v>
      </c>
      <c r="AW44" s="126" cm="1">
        <f t="array" ref="AW44">SUMPRODUCT(($E$7:$E$78=AE44)*($U$7:$U$78)*($G$7:$G$78))+SUMPRODUCT(($H$7:$H$78=AE44)*($U$7:$U$78)*($F$7:$F$78))</f>
        <v>1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100.5</v>
      </c>
      <c r="BA44" s="126">
        <f>AZ44/AZ48</f>
        <v>0.98529411764705888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1</v>
      </c>
      <c r="BE44" s="126" cm="1">
        <f t="array" ref="BE44">SUMPRODUCT(($E$7:$E$78=AE44)*($X$7:$X$78)*($G$7:$G$78))+SUMPRODUCT(($H$7:$H$78=AE44)*($X$7:$X$78)*($F$7:$F$78))</f>
        <v>1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100.5</v>
      </c>
      <c r="BI44" s="126">
        <f>BH44/BH48</f>
        <v>0.98529411764705888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5 - 2</v>
      </c>
      <c r="P45" s="32">
        <f>L45*3+M45</f>
        <v>7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2</v>
      </c>
      <c r="AL45" s="123">
        <f>AI45-AJ45</f>
        <v>3</v>
      </c>
      <c r="AM45" s="123">
        <f>AL45-AL48</f>
        <v>7</v>
      </c>
      <c r="AN45" s="123">
        <f>AF45*3+AG45</f>
        <v>7</v>
      </c>
      <c r="AO45" s="123">
        <f>AN45/AN48*10+BA45</f>
        <v>9.735294117647058</v>
      </c>
      <c r="AP45" s="123">
        <f>AO45*10000000+BI45*100+AM45/AM48*10+AI45/AI48*1++IF(AQ45=0,ROW(),AQ45)/2000000</f>
        <v>97353049.289997295</v>
      </c>
      <c r="AQ45" s="126">
        <f>VLOOKUP(AE45,db_fifarank,2,FALSE)</f>
        <v>1563.24</v>
      </c>
      <c r="AR45" s="125">
        <f>AP45/AP48</f>
        <v>0.99999998972722759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1</v>
      </c>
      <c r="AW45" s="126" cm="1">
        <f t="array" ref="AW45">SUMPRODUCT(($E$7:$E$78=AE45)*($U$7:$U$78)*($G$7:$G$78))+SUMPRODUCT(($H$7:$H$78=AE45)*($U$7:$U$78)*($F$7:$F$78))</f>
        <v>1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100.5</v>
      </c>
      <c r="BA45" s="126">
        <f>AZ45/AZ48</f>
        <v>0.98529411764705888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1</v>
      </c>
      <c r="BE45" s="126" cm="1">
        <f t="array" ref="BE45">SUMPRODUCT(($E$7:$E$78=AE45)*($X$7:$X$78)*($G$7:$G$78))+SUMPRODUCT(($H$7:$H$78=AE45)*($X$7:$X$78)*($F$7:$F$78))</f>
        <v>1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100.5</v>
      </c>
      <c r="BI45" s="126">
        <f>BH45/BH48</f>
        <v>0.98529411764705888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Senegal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3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5 - 2</v>
      </c>
      <c r="P46" s="34">
        <f>L46*3+M46</f>
        <v>7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6</v>
      </c>
      <c r="AL46" s="123">
        <f>AI46-AJ46</f>
        <v>-4</v>
      </c>
      <c r="AM46" s="123">
        <f>AL46-AL48</f>
        <v>0</v>
      </c>
      <c r="AN46" s="123">
        <f>AF46*3+AG46</f>
        <v>1</v>
      </c>
      <c r="AO46" s="123">
        <f>AN46/AN48*10+BA46</f>
        <v>2.2401960784313726</v>
      </c>
      <c r="AP46" s="123">
        <f>AO46*10000000+BI46*100+AM46/AM48*10+AI46/AI48*1++IF(AQ46=0,ROW(),AQ46)/2000000</f>
        <v>22402060.138062552</v>
      </c>
      <c r="AQ46" s="126">
        <f>VLOOKUP(AE46,db_fifarank,2,FALSE)</f>
        <v>1615.3</v>
      </c>
      <c r="AR46" s="125">
        <f>AP46/AP48</f>
        <v>0.23011153807005638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2</v>
      </c>
      <c r="AW46" s="126" cm="1">
        <f t="array" ref="AW46">SUMPRODUCT(($E$7:$E$78=AE46)*($U$7:$U$78)*($G$7:$G$78))+SUMPRODUCT(($H$7:$H$78=AE46)*($U$7:$U$78)*($F$7:$F$78))</f>
        <v>2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101</v>
      </c>
      <c r="BA46" s="126">
        <f>AZ46/AZ48</f>
        <v>0.99019607843137258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2</v>
      </c>
      <c r="BE46" s="126" cm="1">
        <f t="array" ref="BE46">SUMPRODUCT(($E$7:$E$78=AE46)*($X$7:$X$78)*($G$7:$G$78))+SUMPRODUCT(($H$7:$H$78=AE46)*($X$7:$X$78)*($F$7:$F$78))</f>
        <v>2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101</v>
      </c>
      <c r="BI46" s="126">
        <f>BH46/BH48</f>
        <v>0.99019607843137258</v>
      </c>
      <c r="BK46" s="131">
        <v>78</v>
      </c>
      <c r="BL46" s="24" t="str">
        <f>AS33</f>
        <v>Ivory Coast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4 - 6</v>
      </c>
      <c r="P47" s="34">
        <f>L47*3+M47</f>
        <v>1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4</v>
      </c>
      <c r="AJ47" s="123">
        <f>SUMIF($E$7:$E$78,$AE47,$G$7:$G$78) + SUMIF($H$7:$H$78,$AE47,$F$7:$F$78)</f>
        <v>6</v>
      </c>
      <c r="AL47" s="123">
        <f>AI47-AJ47</f>
        <v>-2</v>
      </c>
      <c r="AM47" s="123">
        <f>AL47-AL48</f>
        <v>2</v>
      </c>
      <c r="AN47" s="123">
        <f>AF47*3+AG47</f>
        <v>1</v>
      </c>
      <c r="AO47" s="123">
        <f>AN47/AN48*10+BA47</f>
        <v>2.2401960784313726</v>
      </c>
      <c r="AP47" s="123">
        <f>AO47*10000000+BI47*100+AM47/AM48*10+AI47/AI48*1++IF(AQ47=0,ROW(),AQ47)/2000000</f>
        <v>22402062.971229021</v>
      </c>
      <c r="AQ47" s="126">
        <f>VLOOKUP(AE47,db_fifarank,2,FALSE)</f>
        <v>1281.57</v>
      </c>
      <c r="AR47" s="125">
        <f>AP47/AP48</f>
        <v>0.23011156717203582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2</v>
      </c>
      <c r="AW47" s="126" cm="1">
        <f t="array" ref="AW47">SUMPRODUCT(($E$7:$E$78=AE47)*($U$7:$U$78)*($G$7:$G$78))+SUMPRODUCT(($H$7:$H$78=AE47)*($U$7:$U$78)*($F$7:$F$78))</f>
        <v>2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101</v>
      </c>
      <c r="BA47" s="126">
        <f>AZ47/AZ48</f>
        <v>0.99019607843137258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2</v>
      </c>
      <c r="BE47" s="126" cm="1">
        <f t="array" ref="BE47">SUMPRODUCT(($E$7:$E$78=AE47)*($X$7:$X$78)*($G$7:$G$78))+SUMPRODUCT(($H$7:$H$78=AE47)*($X$7:$X$78)*($F$7:$F$78))</f>
        <v>2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101</v>
      </c>
      <c r="BI47" s="126">
        <f>BH47/BH48</f>
        <v>0.99019607843137258</v>
      </c>
      <c r="BK47" s="132"/>
      <c r="BL47" s="26" t="str">
        <f>AS57</f>
        <v>Senegal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3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2 - 6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1</v>
      </c>
      <c r="AH48" s="123">
        <f t="shared" si="24"/>
        <v>3</v>
      </c>
      <c r="AI48" s="123">
        <f>MAX(AI44:AI47)+1</f>
        <v>6</v>
      </c>
      <c r="AL48" s="123">
        <f>MIN(AL44:AL47)</f>
        <v>-4</v>
      </c>
      <c r="AM48" s="123">
        <f>MAX(AM44:AM47)+1</f>
        <v>8</v>
      </c>
      <c r="AN48" s="123">
        <f>MAX(AN44:AN47)+1</f>
        <v>8</v>
      </c>
      <c r="AO48" s="123">
        <f>MAX(AO44:AO47)+1</f>
        <v>10.735294117647058</v>
      </c>
      <c r="AP48" s="123">
        <f>MAX(AP44:AP47)+1</f>
        <v>97353050.290083021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102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102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4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4000</v>
      </c>
      <c r="CK48" s="114"/>
      <c r="CL48" s="112"/>
      <c r="CM48" s="131">
        <v>103</v>
      </c>
      <c r="CN48" s="24" t="str">
        <f>IF(CK23&gt;CK24,CG24,IF(CK23&lt;CK24,CG23,""))</f>
        <v>Belgium</v>
      </c>
      <c r="CO48" s="61">
        <v>4</v>
      </c>
      <c r="CP48" s="63"/>
      <c r="CQ48" s="25"/>
      <c r="CR48" s="111" t="str">
        <f>IF(OR(CO48="",CO49="",AND(CP48="",CP49&lt;&gt;""),AND(CP49="",CP48&lt;&gt;""),AND(CQ48="",CQ49&lt;&gt;""),AND(CQ49="",CQ48&lt;&gt;"")),"",CO48*1000+CP48*10+CQ48)</f>
        <v/>
      </c>
    </row>
    <row r="49" spans="1:96" x14ac:dyDescent="0.3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3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Mexico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Brazil</v>
      </c>
      <c r="CO49" s="62"/>
      <c r="CP49" s="64"/>
      <c r="CQ49" s="27"/>
      <c r="CR49" s="111" t="str">
        <f>IF(CR48="","",CO49*1000+CP49*10+CQ49)</f>
        <v/>
      </c>
    </row>
    <row r="50" spans="1:96" x14ac:dyDescent="0.3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1</v>
      </c>
      <c r="W50" s="123">
        <f t="shared" si="22"/>
        <v>1</v>
      </c>
      <c r="X50" s="123">
        <f t="shared" si="9"/>
        <v>1</v>
      </c>
      <c r="Y50" s="123">
        <f t="shared" si="10"/>
        <v>1</v>
      </c>
      <c r="Z50" s="123">
        <f t="shared" si="11"/>
        <v>1</v>
      </c>
      <c r="AA50" s="123">
        <f t="shared" si="17"/>
        <v>1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12</v>
      </c>
      <c r="AJ50" s="123">
        <f>SUMIF($E$7:$E$78,$AE50,$G$7:$G$78) + SUMIF($H$7:$H$78,$AE50,$F$7:$F$78)</f>
        <v>2</v>
      </c>
      <c r="AL50" s="123">
        <f>AI50-AJ50</f>
        <v>10</v>
      </c>
      <c r="AM50" s="123">
        <f>AL50-AL54</f>
        <v>21</v>
      </c>
      <c r="AN50" s="123">
        <f>AF50*3+AG50</f>
        <v>7</v>
      </c>
      <c r="AO50" s="123">
        <f>AN50/AN54*10+BA50</f>
        <v>9.7306451612903224</v>
      </c>
      <c r="AP50" s="123">
        <f>AO50*10000000+BI50*100+AM50/AM54*10+AI50/AI54*1++IF(AQ50=0,ROW(),AQ50)/2000000</f>
        <v>97306560.146889031</v>
      </c>
      <c r="AQ50" s="126">
        <f>VLOOKUP(AE50,db_fifarank,2,FALSE)</f>
        <v>1876.4</v>
      </c>
      <c r="AR50" s="125">
        <f>AP50/AP54</f>
        <v>0.9999999897232007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2</v>
      </c>
      <c r="AW50" s="126" cm="1">
        <f t="array" ref="AW50">SUMPRODUCT(($E$7:$E$78=AE50)*($U$7:$U$78)*($G$7:$G$78))+SUMPRODUCT(($H$7:$H$78=AE50)*($U$7:$U$78)*($F$7:$F$78))</f>
        <v>2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50.666666666666664</v>
      </c>
      <c r="BA50" s="126">
        <f>AZ50/AZ54</f>
        <v>0.98064516129032253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2</v>
      </c>
      <c r="BE50" s="126" cm="1">
        <f t="array" ref="BE50">SUMPRODUCT(($E$7:$E$78=AE50)*($X$7:$X$78)*($G$7:$G$78))+SUMPRODUCT(($H$7:$H$78=AE50)*($X$7:$X$78)*($F$7:$F$78))</f>
        <v>2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50.666666666666664</v>
      </c>
      <c r="BI50" s="126">
        <f>BH50/BH54</f>
        <v>0.98064516129032253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12 - 2</v>
      </c>
      <c r="P51" s="32">
        <f>L51*3+M51</f>
        <v>7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11</v>
      </c>
      <c r="AL51" s="123">
        <f>AI51-AJ51</f>
        <v>-11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7.0197219175064664E-12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8 - 2</v>
      </c>
      <c r="P52" s="34">
        <f>L52*3+M52</f>
        <v>7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7</v>
      </c>
      <c r="AL52" s="123">
        <f>AI52-AJ52</f>
        <v>-5</v>
      </c>
      <c r="AM52" s="123">
        <f>AL52-AL54</f>
        <v>6</v>
      </c>
      <c r="AN52" s="123">
        <f>AF52*3+AG52</f>
        <v>3</v>
      </c>
      <c r="AO52" s="123">
        <f>AN52/AN54*10+BA52</f>
        <v>3.75</v>
      </c>
      <c r="AP52" s="123">
        <f>AO52*10000000+BI52*100+AM52/AM54*10+AI52/AI54*1++IF(AQ52=0,ROW(),AQ52)/2000000</f>
        <v>37500002.881829597</v>
      </c>
      <c r="AQ52" s="126">
        <f>VLOOKUP(AE52,db_fifarank,2,FALSE)</f>
        <v>1421.43</v>
      </c>
      <c r="AR52" s="125">
        <f>AP52/AP54</f>
        <v>0.38538000356647589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2</v>
      </c>
      <c r="BU52" s="63">
        <v>2</v>
      </c>
      <c r="BV52" s="25">
        <v>4</v>
      </c>
      <c r="BW52" s="116">
        <f>IF(OR(BT52="",BT53="",AND(BU52="",BU53&lt;&gt;""),AND(BU53="",BU52&lt;&gt;""),AND(BV52="",BV53&lt;&gt;""),AND(BV53="",BV52&lt;&gt;"")),"",BT52*1000+BU52*10+BV52)</f>
        <v>2024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3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2 - 7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8</v>
      </c>
      <c r="AJ53" s="123">
        <f>SUMIF($E$7:$E$78,$AE53,$G$7:$G$78) + SUMIF($H$7:$H$78,$AE53,$F$7:$F$78)</f>
        <v>2</v>
      </c>
      <c r="AL53" s="123">
        <f>AI53-AJ53</f>
        <v>6</v>
      </c>
      <c r="AM53" s="123">
        <f>AL53-AL54</f>
        <v>17</v>
      </c>
      <c r="AN53" s="123">
        <f>AF53*3+AG53</f>
        <v>7</v>
      </c>
      <c r="AO53" s="123">
        <f>AN53/AN54*10+BA53</f>
        <v>9.7306451612903224</v>
      </c>
      <c r="AP53" s="123">
        <f>AO53*10000000+BI53*100+AM53/AM54*10+AI53/AI54*1++IF(AQ53=0,ROW(),AQ53)/2000000</f>
        <v>97306558.020913228</v>
      </c>
      <c r="AQ53" s="126">
        <f>VLOOKUP(AE53,db_fifarank,2,FALSE)</f>
        <v>1673.07</v>
      </c>
      <c r="AR53" s="125">
        <f>AP53/AP54</f>
        <v>0.99999996787497403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2</v>
      </c>
      <c r="AW53" s="126" cm="1">
        <f t="array" ref="AW53">SUMPRODUCT(($E$7:$E$78=AE53)*($U$7:$U$78)*($G$7:$G$78))+SUMPRODUCT(($H$7:$H$78=AE53)*($U$7:$U$78)*($F$7:$F$78))</f>
        <v>2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50.666666666666664</v>
      </c>
      <c r="BA53" s="126">
        <f>AZ53/AZ54</f>
        <v>0.98064516129032253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2</v>
      </c>
      <c r="BE53" s="126" cm="1">
        <f t="array" ref="BE53">SUMPRODUCT(($E$7:$E$78=AE53)*($X$7:$X$78)*($G$7:$G$78))+SUMPRODUCT(($H$7:$H$78=AE53)*($X$7:$X$78)*($F$7:$F$78))</f>
        <v>2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50.666666666666664</v>
      </c>
      <c r="BI53" s="126">
        <f>BH53/BH54</f>
        <v>0.98064516129032253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2</v>
      </c>
      <c r="BU53" s="64">
        <v>2</v>
      </c>
      <c r="BV53" s="27">
        <v>3</v>
      </c>
      <c r="BW53" s="112">
        <f>IF(BW52="","",BT53*1000+BU53*10+BV53)</f>
        <v>2023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0 - 11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4</v>
      </c>
      <c r="AI54" s="123">
        <f>MAX(AI50:AI53)+1</f>
        <v>13</v>
      </c>
      <c r="AL54" s="123">
        <f>MIN(AL50:AL53)</f>
        <v>-11</v>
      </c>
      <c r="AM54" s="123">
        <f>MAX(AM50:AM53)+1</f>
        <v>22</v>
      </c>
      <c r="AN54" s="123">
        <f>MAX(AN50:AN53)+1</f>
        <v>8</v>
      </c>
      <c r="AO54" s="123">
        <f>MAX(AO50:AO53)+1</f>
        <v>10.730645161290322</v>
      </c>
      <c r="AP54" s="123">
        <f>MAX(AP50:AP53)+1</f>
        <v>97306561.146889031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3</v>
      </c>
      <c r="AW54" s="126">
        <f>MAX(AW50:AW53)-MIN(AW50:AW53)+1</f>
        <v>3</v>
      </c>
      <c r="AY54" s="126">
        <f>MAX(AY50:AY53)-MIN(AY50:AY53)+1</f>
        <v>1</v>
      </c>
      <c r="AZ54" s="126">
        <f>MAX(AZ50:AZ53)+1</f>
        <v>51.666666666666664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3</v>
      </c>
      <c r="BE54" s="126">
        <f>MAX(BE50:BE53)-MIN(BE50:BE53)+1</f>
        <v>3</v>
      </c>
      <c r="BG54" s="126">
        <f>MAX(BG50:BG53)-MIN(BG50:BG53)+1</f>
        <v>1</v>
      </c>
      <c r="BH54" s="126">
        <f>MAX(BH50:BH53)+1</f>
        <v>51.666666666666664</v>
      </c>
      <c r="BK54" s="131">
        <v>80</v>
      </c>
      <c r="BL54" s="24" t="str">
        <f>AS74</f>
        <v>England</v>
      </c>
      <c r="BM54" s="61">
        <v>1</v>
      </c>
      <c r="BN54" s="63">
        <v>2</v>
      </c>
      <c r="BO54" s="25"/>
      <c r="BP54" s="116">
        <f>IF(OR(BM54="",BM55="",AND(BN54="",BN55&lt;&gt;""),AND(BN55="",BN54&lt;&gt;""),AND(BO54="",BO55&lt;&gt;""),AND(BO55="",BO54&lt;&gt;"")),"",BM54*1000+BN54*10+BO54)</f>
        <v>1020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3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DR Congo</v>
      </c>
      <c r="BM55" s="62">
        <v>1</v>
      </c>
      <c r="BN55" s="64">
        <v>1</v>
      </c>
      <c r="BO55" s="27"/>
      <c r="BP55" s="112">
        <f>IF(BP54="","",BM55*1000+BN55*10+BO55)</f>
        <v>1010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2</v>
      </c>
      <c r="CI55" s="63">
        <v>2</v>
      </c>
      <c r="CJ55" s="25">
        <v>4</v>
      </c>
      <c r="CK55" s="116">
        <f>IF(OR(CH55="",CH56="",AND(CI55="",CI56&lt;&gt;""),AND(CI56="",CI55&lt;&gt;""),AND(CJ55="",CJ56&lt;&gt;""),AND(CJ56="",CJ55&lt;&gt;"")),"",CH55*1000+CI55*10+CJ55)</f>
        <v>2024</v>
      </c>
      <c r="CL55" s="112"/>
    </row>
    <row r="56" spans="1:96" x14ac:dyDescent="0.3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1</v>
      </c>
      <c r="AL56" s="123">
        <f>AI56-AJ56</f>
        <v>7</v>
      </c>
      <c r="AM56" s="123">
        <f>AL56-AL60</f>
        <v>13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90000010.175541833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2</v>
      </c>
      <c r="CI56" s="64">
        <v>2</v>
      </c>
      <c r="CJ56" s="27">
        <v>5</v>
      </c>
      <c r="CK56" s="112">
        <f>IF(CK55="","",CH56*1000+CI56*10+CJ56)</f>
        <v>2025</v>
      </c>
      <c r="CL56" s="112"/>
    </row>
    <row r="57" spans="1:96" x14ac:dyDescent="0.3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8 - 1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3</v>
      </c>
      <c r="AL57" s="123">
        <f>AI57-AJ57</f>
        <v>0</v>
      </c>
      <c r="AM57" s="123">
        <f>AL57-AL60</f>
        <v>6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49805927.92086298</v>
      </c>
      <c r="AQ57" s="126">
        <f>VLOOKUP(AE57,db_fifarank,2,FALSE)</f>
        <v>1688.99</v>
      </c>
      <c r="AR57" s="125">
        <f>AP57/AP60</f>
        <v>0.55339913040364275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3 - 3</v>
      </c>
      <c r="P58" s="34">
        <f>L58*3+M58</f>
        <v>4</v>
      </c>
      <c r="R58" s="123">
        <f>DATE(2026,6,24)+TIME(8,0,0)+gmt_delta</f>
        <v>46197.791666666672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1</v>
      </c>
      <c r="W58" s="123">
        <f t="shared" si="22"/>
        <v>1</v>
      </c>
      <c r="X58" s="123">
        <f t="shared" si="9"/>
        <v>1</v>
      </c>
      <c r="Y58" s="123">
        <f t="shared" si="10"/>
        <v>1</v>
      </c>
      <c r="Z58" s="123">
        <f t="shared" si="11"/>
        <v>1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7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0.11183468111111111</v>
      </c>
      <c r="AQ58" s="126">
        <f>VLOOKUP(AE58,db_fifarank,2,FALSE)</f>
        <v>1447.14</v>
      </c>
      <c r="AR58" s="125">
        <f>AP58/AP60</f>
        <v>1.2426074136033331E-9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3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3000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3 - 4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4</v>
      </c>
      <c r="AL59" s="123">
        <f>AI59-AJ59</f>
        <v>-1</v>
      </c>
      <c r="AM59" s="123">
        <f>AL59-AL60</f>
        <v>5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49805927.206508249</v>
      </c>
      <c r="AQ59" s="126">
        <f>VLOOKUP(AE59,db_fifarank,2,FALSE)</f>
        <v>1550.94</v>
      </c>
      <c r="AR59" s="125">
        <f>AP59/AP60</f>
        <v>0.55339912246636891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2</v>
      </c>
      <c r="BN59" s="64"/>
      <c r="BO59" s="27"/>
      <c r="BP59" s="113">
        <f>IF(BP58="","",BM59*1000+BN59*10+BO59)</f>
        <v>2000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3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1 - 7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9</v>
      </c>
      <c r="AL60" s="123">
        <f>MIN(AL56:AL59)</f>
        <v>-6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90000011.175541833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3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4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Egypt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3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1</v>
      </c>
      <c r="AL62" s="123">
        <f>AI62-AJ62</f>
        <v>8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90000010.131706655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Paraguay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7</v>
      </c>
      <c r="AL63" s="123">
        <f>AI63-AJ63</f>
        <v>-4</v>
      </c>
      <c r="AM63" s="123">
        <f>AL63-AL66</f>
        <v>0</v>
      </c>
      <c r="AN63" s="123">
        <f>AF63*3+AG63</f>
        <v>1</v>
      </c>
      <c r="AO63" s="123">
        <f>AN63/AN66*10+BA63</f>
        <v>1.9805825242718447</v>
      </c>
      <c r="AP63" s="123">
        <f>AO63*10000000+BI63*100+AM63/AM66*10+AI63/AI66*1++IF(AQ63=0,ROW(),AQ63)/2000000</f>
        <v>19805923.601753004</v>
      </c>
      <c r="AQ63" s="126">
        <f>VLOOKUP(AE63,db_fifarank,2,FALSE)</f>
        <v>1564.26</v>
      </c>
      <c r="AR63" s="125">
        <f>AP63/AP66</f>
        <v>0.22006579057827977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Egypt</v>
      </c>
      <c r="BM63" s="62">
        <v>2</v>
      </c>
      <c r="BN63" s="64"/>
      <c r="BO63" s="27"/>
      <c r="BP63" s="112">
        <f>IF(BP62="","",BM63*1000+BN63*10+BO63)</f>
        <v>2000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3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2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5 - 5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Tunisia_draw</v>
      </c>
      <c r="T64" s="127" t="str">
        <f t="shared" si="20"/>
        <v>Netherlands_draw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0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5</v>
      </c>
      <c r="AL64" s="123">
        <f>AI64-AJ64</f>
        <v>0</v>
      </c>
      <c r="AM64" s="123">
        <f>AL64-AL66</f>
        <v>4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60000003.577719808</v>
      </c>
      <c r="AQ64" s="126">
        <f>VLOOKUP(AE64,db_fifarank,2,FALSE)</f>
        <v>1593.45</v>
      </c>
      <c r="AR64" s="125">
        <f>AP64/AP66</f>
        <v>0.66666662396202792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3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3 - 7</v>
      </c>
      <c r="P65" s="34">
        <f>L65*3+M65</f>
        <v>1</v>
      </c>
      <c r="R65" s="123">
        <f>DATE(2026,6,25)+TIME(15,0,0)+gmt_delta</f>
        <v>46199.083333333336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6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1.9805825242718447</v>
      </c>
      <c r="AP65" s="123">
        <f>AO65*10000000+BI65*100+AM65/AM66*10+AI65/AI66*1++IF(AQ65=0,ROW(),AQ65)/2000000</f>
        <v>19805923.501666598</v>
      </c>
      <c r="AQ65" s="126">
        <f>VLOOKUP(AE65,db_fifarank,2,FALSE)</f>
        <v>1391.45</v>
      </c>
      <c r="AR65" s="125">
        <f>AP65/AP66</f>
        <v>0.22006578946620872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1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50.5</v>
      </c>
      <c r="BA65" s="126">
        <f>AZ65/AZ66</f>
        <v>0.98058252427184467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1</v>
      </c>
      <c r="BE65" s="126" cm="1">
        <f t="array" ref="BE65">SUMPRODUCT(($E$7:$E$78=AE65)*($X$7:$X$78)*($G$7:$G$78))+SUMPRODUCT(($H$7:$H$78=AE65)*($X$7:$X$78)*($F$7:$F$78))</f>
        <v>1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50.5</v>
      </c>
      <c r="BI65" s="126">
        <f>BH65/BH66</f>
        <v>0.98058252427184467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2 - 6</v>
      </c>
      <c r="P66" s="37">
        <f>L66*3+M66</f>
        <v>1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10</v>
      </c>
      <c r="AL66" s="123">
        <f>MIN(AL62:AL65)</f>
        <v>-4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90000011.131706655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1</v>
      </c>
      <c r="BN66" s="63">
        <v>1</v>
      </c>
      <c r="BO66" s="25">
        <v>5</v>
      </c>
      <c r="BP66" s="112">
        <f>IF(OR(BM66="",BM67="",AND(BN66="",BN67&lt;&gt;""),AND(BN67="",BN66&lt;&gt;""),AND(BO66="",BO67&lt;&gt;""),AND(BO67="",BO66&lt;&gt;"")),"",BM66*1000+BN66*10+BO66)</f>
        <v>1015</v>
      </c>
      <c r="BQ66" s="112"/>
      <c r="BR66" s="21"/>
      <c r="BS66" s="21"/>
      <c r="BT66" s="21"/>
      <c r="BU66" s="21"/>
      <c r="BV66" s="21"/>
      <c r="BW66" s="114"/>
    </row>
    <row r="67" spans="1:95" x14ac:dyDescent="0.3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0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Ecuador</v>
      </c>
      <c r="BM67" s="62">
        <v>1</v>
      </c>
      <c r="BN67" s="64">
        <v>1</v>
      </c>
      <c r="BO67" s="27">
        <v>4</v>
      </c>
      <c r="BP67" s="113">
        <f>IF(BP66="","",BM67*1000+BN67*10+BO67)</f>
        <v>1014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3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2</v>
      </c>
      <c r="AL68" s="123">
        <f>AI68-AJ68</f>
        <v>5</v>
      </c>
      <c r="AM68" s="123">
        <f>AL68-AL72</f>
        <v>8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90000009.764770806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3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7 - 2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3</v>
      </c>
      <c r="AJ69" s="123">
        <f>SUMIF($E$7:$E$78,$AE69,$G$7:$G$78) + SUMIF($H$7:$H$78,$AE69,$F$7:$F$78)</f>
        <v>5</v>
      </c>
      <c r="AL69" s="123">
        <f>AI69-AJ69</f>
        <v>-2</v>
      </c>
      <c r="AM69" s="123">
        <f>AL69-AL72</f>
        <v>1</v>
      </c>
      <c r="AN69" s="123">
        <f>AF69*3+AG69</f>
        <v>3</v>
      </c>
      <c r="AO69" s="123">
        <f>AN69/AN72*10+BA69</f>
        <v>3</v>
      </c>
      <c r="AP69" s="123">
        <f>AO69*10000000+BI69*100+AM69/AM72*10+AI69/AI72*1++IF(AQ69=0,ROW(),AQ69)/2000000</f>
        <v>30000001.486850288</v>
      </c>
      <c r="AQ69" s="126">
        <f>VLOOKUP(AE69,db_fifarank,2,FALSE)</f>
        <v>1478.35</v>
      </c>
      <c r="AR69" s="125">
        <f>AP69/AP72</f>
        <v>0.33333330998437338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1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4 - 4</v>
      </c>
      <c r="P70" s="34">
        <f>L70*3+M70</f>
        <v>4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3</v>
      </c>
      <c r="AJ70" s="123">
        <f>SUMIF($E$7:$E$78,$AE70,$G$7:$G$78) + SUMIF($H$7:$H$78,$AE70,$F$7:$F$78)</f>
        <v>6</v>
      </c>
      <c r="AL70" s="123">
        <f>AI70-AJ70</f>
        <v>-3</v>
      </c>
      <c r="AM70" s="123">
        <f>AL70-AL72</f>
        <v>0</v>
      </c>
      <c r="AN70" s="123">
        <f>AF70*3+AG70</f>
        <v>1</v>
      </c>
      <c r="AO70" s="123">
        <f>AN70/AN72*10+BA70</f>
        <v>1</v>
      </c>
      <c r="AP70" s="123">
        <f>AO70*10000000+BI70*100+AM70/AM72*10+AI70/AI72*1++IF(AQ70=0,ROW(),AQ70)/2000000</f>
        <v>10000000.37573267</v>
      </c>
      <c r="AQ70" s="126">
        <f>VLOOKUP(AE70,db_fifarank,2,FALSE)</f>
        <v>1465.34</v>
      </c>
      <c r="AR70" s="125">
        <f>AP70/AP72</f>
        <v>0.11111110199607914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3 - 5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4</v>
      </c>
      <c r="AL71" s="123">
        <f>AI71-AJ71</f>
        <v>0</v>
      </c>
      <c r="AM71" s="123">
        <f>AL71-AL72</f>
        <v>3</v>
      </c>
      <c r="AN71" s="123">
        <f>AF71*3+AG71</f>
        <v>4</v>
      </c>
      <c r="AO71" s="123">
        <f>AN71/AN72*10+BA71</f>
        <v>4</v>
      </c>
      <c r="AP71" s="123">
        <f>AO71*10000000+BI71*100+AM71/AM72*10+AI71/AI72*1++IF(AQ71=0,ROW(),AQ71)/2000000</f>
        <v>40000003.834179878</v>
      </c>
      <c r="AQ71" s="126">
        <f>VLOOKUP(AE71,db_fifarank,2,FALSE)</f>
        <v>1693.09</v>
      </c>
      <c r="AR71" s="125">
        <f>AP71/AP72</f>
        <v>0.44444443388708232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Croatia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3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2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3 - 6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2</v>
      </c>
      <c r="W72" s="123">
        <f t="shared" si="22"/>
        <v>2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2</v>
      </c>
      <c r="Z72" s="123">
        <f t="shared" ref="Z72:Z78" si="34">X72*G72</f>
        <v>2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8</v>
      </c>
      <c r="AL72" s="123">
        <f>MIN(AL68:AL71)</f>
        <v>-3</v>
      </c>
      <c r="AM72" s="123">
        <f>MAX(AM68:AM71)+1</f>
        <v>9</v>
      </c>
      <c r="AN72" s="123">
        <f>MAX(AN68:AN71)+1</f>
        <v>10</v>
      </c>
      <c r="AO72" s="123">
        <f>MAX(AO68:AO71)+1</f>
        <v>10</v>
      </c>
      <c r="AP72" s="123">
        <f>MAX(AP68:AP71)+1</f>
        <v>90000010.764770806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1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1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Croatia_lose</v>
      </c>
      <c r="T74" s="127" t="str">
        <f t="shared" si="20"/>
        <v>Ghana_win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-1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3</v>
      </c>
      <c r="AL74" s="123">
        <f>AI74-AJ74</f>
        <v>5</v>
      </c>
      <c r="AM74" s="123">
        <f>AL74-AL78</f>
        <v>9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90000009.889801875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2</v>
      </c>
      <c r="G75" s="20">
        <v>3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8 - 3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0</v>
      </c>
      <c r="AH75" s="123">
        <f>COUNTIF($S$7:$T$78,"=" &amp; AE75 &amp; "_lose")</f>
        <v>2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6</v>
      </c>
      <c r="AL75" s="123">
        <f>AI75-AJ75</f>
        <v>-2</v>
      </c>
      <c r="AM75" s="123">
        <f>AL75-AL78</f>
        <v>2</v>
      </c>
      <c r="AN75" s="123">
        <f>AF75*3+AG75</f>
        <v>3</v>
      </c>
      <c r="AO75" s="123">
        <f>AN75/AN78*10+BA75</f>
        <v>3</v>
      </c>
      <c r="AP75" s="123">
        <f>AO75*10000000+BI75*100+AM75/AM78*10+AI75/AI78*1++IF(AQ75=0,ROW(),AQ75)/2000000</f>
        <v>30000002.445302978</v>
      </c>
      <c r="AQ75" s="126">
        <f>VLOOKUP(AE75,db_fifarank,2,FALSE)</f>
        <v>1717.07</v>
      </c>
      <c r="AR75" s="125">
        <f>AP75/AP78</f>
        <v>0.3333333201707685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1</v>
      </c>
      <c r="G76" s="20">
        <v>3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5 - 4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2</v>
      </c>
      <c r="AG76" s="123">
        <f>COUNTIF($S$7:$T$78,"=" &amp; AE76 &amp; "_draw")</f>
        <v>0</v>
      </c>
      <c r="AH76" s="123">
        <f>COUNTIF($S$7:$T$78,"=" &amp; AE76 &amp; "_lose")</f>
        <v>1</v>
      </c>
      <c r="AI76" s="123">
        <f>SUMIF($E$7:$E$78,$AE76,$F$7:$F$78) + SUMIF($H$7:$H$78,$AE76,$G$7:$G$78)</f>
        <v>5</v>
      </c>
      <c r="AJ76" s="123">
        <f>SUMIF($E$7:$E$78,$AE76,$G$7:$G$78) + SUMIF($H$7:$H$78,$AE76,$F$7:$F$78)</f>
        <v>4</v>
      </c>
      <c r="AL76" s="123">
        <f>AI76-AJ76</f>
        <v>1</v>
      </c>
      <c r="AM76" s="123">
        <f>AL76-AL78</f>
        <v>5</v>
      </c>
      <c r="AN76" s="123">
        <f>AF76*3+AG76</f>
        <v>6</v>
      </c>
      <c r="AO76" s="123">
        <f>AN76/AN78*10+BA76</f>
        <v>6</v>
      </c>
      <c r="AP76" s="123">
        <f>AO76*10000000+BI76*100+AM76/AM78*10+AI76/AI78*1++IF(AQ76=0,ROW(),AQ76)/2000000</f>
        <v>60000005.556228705</v>
      </c>
      <c r="AQ76" s="126">
        <f>VLOOKUP(AE76,db_fifarank,2,FALSE)</f>
        <v>1346.31</v>
      </c>
      <c r="AR76" s="125">
        <f>AP76/AP78</f>
        <v>0.66666664773734441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4 - 6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3</v>
      </c>
      <c r="AJ77" s="123">
        <f>SUMIF($E$7:$E$78,$AE77,$G$7:$G$78) + SUMIF($H$7:$H$78,$AE77,$F$7:$F$78)</f>
        <v>7</v>
      </c>
      <c r="AL77" s="123">
        <f>AI77-AJ77</f>
        <v>-4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0.33410365333333331</v>
      </c>
      <c r="AQ77" s="126">
        <f>VLOOKUP(AE77,db_fifarank,2,FALSE)</f>
        <v>1540.64</v>
      </c>
      <c r="AR77" s="125">
        <f>AP77/AP78</f>
        <v>3.7122623656392405E-9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2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3 - 7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9</v>
      </c>
      <c r="AL78" s="123">
        <f>MIN(AL74:AL77)</f>
        <v>-4</v>
      </c>
      <c r="AM78" s="123">
        <f>MAX(AM74:AM77)+1</f>
        <v>10</v>
      </c>
      <c r="AN78" s="123">
        <f>MAX(AN74:AN77)+1</f>
        <v>10</v>
      </c>
      <c r="AO78" s="123">
        <f>MAX(AO74:AO77)+1</f>
        <v>10</v>
      </c>
      <c r="AP78" s="123">
        <f>MAX(AP74:AP77)+1</f>
        <v>90000010.889801875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8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4</v>
      </c>
      <c r="AK80" s="123" t="s">
        <v>3180</v>
      </c>
      <c r="AL80" s="123">
        <f>VLOOKUP($AE80,$AE$8:$AQ$78,8,FALSE)</f>
        <v>-2</v>
      </c>
      <c r="AM80" s="123">
        <f>AL80-$AL$92</f>
        <v>3</v>
      </c>
      <c r="AN80" s="123">
        <f>VLOOKUP($AE80,$AE$8:$AQ$78,10,FALSE)</f>
        <v>2</v>
      </c>
      <c r="AP80" s="123">
        <f>AN80/AN92*10000+AM80/AM92*1000+AI80/AI92*100+IF(AQ80=0,ROW(),AQ80)/2000000</f>
        <v>4461.9055125947616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Morocco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5 - 4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Bosnia and Herzegovina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2478.5721214914283</v>
      </c>
      <c r="AQ81" s="126">
        <f t="shared" si="37"/>
        <v>1385.84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Bosnia and Herzegovina</v>
      </c>
    </row>
    <row r="82" spans="1:46" ht="15" customHeight="1" x14ac:dyDescent="0.3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Norway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3 - 4</v>
      </c>
      <c r="P82" s="101">
        <f t="shared" ref="P82:P92" si="48">L82*3+M82</f>
        <v>4</v>
      </c>
      <c r="AD82" s="123">
        <f t="shared" si="38"/>
        <v>1</v>
      </c>
      <c r="AE82" s="124" t="str">
        <f>J23</f>
        <v>Morocco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5</v>
      </c>
      <c r="AJ82" s="123">
        <f t="shared" si="42"/>
        <v>4</v>
      </c>
      <c r="AK82" s="123" t="s">
        <v>3182</v>
      </c>
      <c r="AL82" s="123">
        <f t="shared" si="43"/>
        <v>1</v>
      </c>
      <c r="AM82" s="123">
        <f t="shared" si="44"/>
        <v>6</v>
      </c>
      <c r="AN82" s="123">
        <f t="shared" si="45"/>
        <v>4</v>
      </c>
      <c r="AP82" s="123">
        <f>AN82/AN92*10000+AM82/AM92*1000+AI82/AI92*100+IF(AQ82=0,ROW(),AQ82)/2000000</f>
        <v>8940.47706841119</v>
      </c>
      <c r="AQ82" s="126">
        <f t="shared" si="37"/>
        <v>1755.87</v>
      </c>
      <c r="AR82" s="125" t="str">
        <f t="shared" ref="AR82:AR91" si="50">AR81&amp;IF(AD82&lt;=8,RIGHT(AK82,1),"")</f>
        <v>AC</v>
      </c>
      <c r="AS82" s="129" t="str">
        <f t="shared" si="46"/>
        <v>Morocco</v>
      </c>
      <c r="AT82" s="130" t="str">
        <f>"Ⓒ "&amp;AE82</f>
        <v>Ⓒ Morocco</v>
      </c>
    </row>
    <row r="83" spans="1:46" ht="15" customHeight="1" x14ac:dyDescent="0.3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Ⓔ Ecuador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5 - 5</v>
      </c>
      <c r="P83" s="101">
        <f t="shared" si="48"/>
        <v>3</v>
      </c>
      <c r="AD83" s="123">
        <f t="shared" si="38"/>
        <v>4</v>
      </c>
      <c r="AE83" s="124" t="str">
        <f>J29</f>
        <v>Turkey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4</v>
      </c>
      <c r="AJ83" s="123">
        <f t="shared" si="42"/>
        <v>5</v>
      </c>
      <c r="AK83" s="123" t="s">
        <v>3184</v>
      </c>
      <c r="AL83" s="123">
        <f t="shared" si="43"/>
        <v>-1</v>
      </c>
      <c r="AM83" s="123">
        <f t="shared" si="44"/>
        <v>4</v>
      </c>
      <c r="AN83" s="123">
        <f t="shared" si="45"/>
        <v>3</v>
      </c>
      <c r="AP83" s="123">
        <f>AN83/AN92*10000+AM83/AM92*1000+AI83/AI92*100+IF(AQ83=0,ROW(),AQ83)/2000000</f>
        <v>6638.0960376152389</v>
      </c>
      <c r="AQ83" s="126">
        <f t="shared" si="37"/>
        <v>1599.04</v>
      </c>
      <c r="AR83" s="125" t="str">
        <f t="shared" si="50"/>
        <v>ACD</v>
      </c>
      <c r="AS83" s="129" t="str">
        <f t="shared" si="46"/>
        <v>Turkey</v>
      </c>
      <c r="AT83" s="130" t="str">
        <f>"Ⓓ "&amp;AE83</f>
        <v>Ⓓ Turkey</v>
      </c>
    </row>
    <row r="84" spans="1:46" ht="15" customHeight="1" x14ac:dyDescent="0.3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Ⓓ Turkey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4 - 5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3</v>
      </c>
      <c r="AE84" s="124" t="str">
        <f>J35</f>
        <v>Ecuador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5</v>
      </c>
      <c r="AJ84" s="123">
        <f t="shared" si="42"/>
        <v>5</v>
      </c>
      <c r="AK84" s="123" t="s">
        <v>3185</v>
      </c>
      <c r="AL84" s="123">
        <f t="shared" si="43"/>
        <v>0</v>
      </c>
      <c r="AM84" s="123">
        <f t="shared" si="44"/>
        <v>5</v>
      </c>
      <c r="AN84" s="123">
        <f t="shared" si="45"/>
        <v>3</v>
      </c>
      <c r="AP84" s="123">
        <f>AN84/AN92*10000+AM84/AM92*1000+AI84/AI92*100+IF(AQ84=0,ROW(),AQ84)/2000000</f>
        <v>6797.6198450090478</v>
      </c>
      <c r="AQ84" s="126">
        <f t="shared" si="37"/>
        <v>1594.78</v>
      </c>
      <c r="AR84" s="125" t="str">
        <f t="shared" si="50"/>
        <v>ACDE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3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Ⓛ Croatia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4 - 6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9</v>
      </c>
      <c r="AE85" s="124" t="str">
        <f>J41</f>
        <v>Japan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2</v>
      </c>
      <c r="AJ85" s="123">
        <f t="shared" si="42"/>
        <v>5</v>
      </c>
      <c r="AK85" s="123" t="s">
        <v>3186</v>
      </c>
      <c r="AL85" s="123">
        <f t="shared" si="43"/>
        <v>-3</v>
      </c>
      <c r="AM85" s="123">
        <f t="shared" si="44"/>
        <v>2</v>
      </c>
      <c r="AN85" s="123">
        <f t="shared" si="45"/>
        <v>2</v>
      </c>
      <c r="AP85" s="123">
        <f>AN85/AN92*10000+AM85/AM92*1000+AI85/AI92*100+IF(AQ85=0,ROW(),AQ85)/2000000</f>
        <v>4319.0484492626183</v>
      </c>
      <c r="AQ85" s="126">
        <f t="shared" si="37"/>
        <v>1660.43</v>
      </c>
      <c r="AR85" s="125" t="str">
        <f t="shared" si="50"/>
        <v>ACDE</v>
      </c>
      <c r="AS85" s="129" t="str">
        <f t="shared" si="46"/>
        <v/>
      </c>
      <c r="AT85" s="130" t="str">
        <f>"Ⓕ "&amp;AE85</f>
        <v>Ⓕ Japan</v>
      </c>
    </row>
    <row r="86" spans="1:46" ht="15" customHeight="1" x14ac:dyDescent="0.3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Ⓚ DR Congo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3 - 5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10</v>
      </c>
      <c r="AE86" s="124" t="str">
        <f>J47</f>
        <v>New Zealand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4</v>
      </c>
      <c r="AJ86" s="123">
        <f t="shared" si="42"/>
        <v>6</v>
      </c>
      <c r="AK86" s="123" t="s">
        <v>3187</v>
      </c>
      <c r="AL86" s="123">
        <f t="shared" si="43"/>
        <v>-2</v>
      </c>
      <c r="AM86" s="123">
        <f t="shared" si="44"/>
        <v>3</v>
      </c>
      <c r="AN86" s="123">
        <f t="shared" si="45"/>
        <v>1</v>
      </c>
      <c r="AP86" s="123">
        <f>AN86/AN92*10000+AM86/AM92*1000+AI86/AI92*100+IF(AQ86=0,ROW(),AQ86)/2000000</f>
        <v>2495.238736023095</v>
      </c>
      <c r="AQ86" s="126">
        <f t="shared" si="37"/>
        <v>1281.57</v>
      </c>
      <c r="AR86" s="125" t="str">
        <f t="shared" si="50"/>
        <v>ACDE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3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Ⓗ Saudi Arabia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2 - 7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7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7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6033.3340440483335</v>
      </c>
      <c r="AQ87" s="126">
        <f t="shared" si="37"/>
        <v>1421.43</v>
      </c>
      <c r="AR87" s="125" t="str">
        <f t="shared" si="50"/>
        <v>ACDEH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3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Ⓐ Czech Republic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2 - 4</v>
      </c>
      <c r="P88" s="101">
        <f t="shared" si="48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2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3</v>
      </c>
      <c r="AJ88" s="123">
        <f t="shared" si="42"/>
        <v>4</v>
      </c>
      <c r="AK88" s="123" t="s">
        <v>3189</v>
      </c>
      <c r="AL88" s="123">
        <f t="shared" si="43"/>
        <v>-1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8621.4293468985707</v>
      </c>
      <c r="AQ88" s="126">
        <f t="shared" si="37"/>
        <v>1550.94</v>
      </c>
      <c r="AR88" s="125" t="str">
        <f t="shared" si="50"/>
        <v>ACDEHI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Ⓕ Japan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2 - 5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12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3</v>
      </c>
      <c r="AJ89" s="123">
        <f t="shared" si="42"/>
        <v>7</v>
      </c>
      <c r="AK89" s="123" t="s">
        <v>3190</v>
      </c>
      <c r="AL89" s="123">
        <f t="shared" si="43"/>
        <v>-4</v>
      </c>
      <c r="AM89" s="123">
        <f t="shared" si="44"/>
        <v>1</v>
      </c>
      <c r="AN89" s="123">
        <f t="shared" si="45"/>
        <v>1</v>
      </c>
      <c r="AP89" s="123">
        <f>AN89/AN92*10000+AM89/AM92*1000+AI89/AI92*100+IF(AQ89=0,ROW(),AQ89)/2000000</f>
        <v>2192.8579249871427</v>
      </c>
      <c r="AQ89" s="126">
        <f t="shared" si="37"/>
        <v>1564.26</v>
      </c>
      <c r="AR89" s="125" t="str">
        <f t="shared" si="50"/>
        <v>ACDEHI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3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New Zealand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4 - 6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Norway</v>
      </c>
      <c r="T90" s="127" t="str" cm="1">
        <f t="array" ref="T90">IF(OR(S90="",S90="draw"),INDEX(T,92,lang),S90)</f>
        <v>Norway</v>
      </c>
      <c r="AD90" s="123">
        <f t="shared" si="38"/>
        <v>6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3</v>
      </c>
      <c r="AJ90" s="123">
        <f t="shared" si="42"/>
        <v>5</v>
      </c>
      <c r="AK90" s="123" t="s">
        <v>3191</v>
      </c>
      <c r="AL90" s="123">
        <f t="shared" si="43"/>
        <v>-2</v>
      </c>
      <c r="AM90" s="123">
        <f t="shared" si="44"/>
        <v>3</v>
      </c>
      <c r="AN90" s="123">
        <f t="shared" si="45"/>
        <v>3</v>
      </c>
      <c r="AP90" s="123">
        <f>AN90/AN92*10000+AM90/AM92*1000+AI90/AI92*100+IF(AQ90=0,ROW(),AQ90)/2000000</f>
        <v>6478.572167746428</v>
      </c>
      <c r="AQ90" s="126">
        <f t="shared" si="37"/>
        <v>1478.35</v>
      </c>
      <c r="AR90" s="125" t="str">
        <f t="shared" si="50"/>
        <v>ACDEHIK</v>
      </c>
      <c r="AS90" s="129" t="str">
        <f t="shared" si="46"/>
        <v>DR Congo</v>
      </c>
      <c r="AT90" s="130" t="str">
        <f>"Ⓚ "&amp;AE90</f>
        <v>Ⓚ DR Congo</v>
      </c>
    </row>
    <row r="91" spans="1:46" ht="15" customHeight="1" x14ac:dyDescent="0.3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Bosnia and Herzegovina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3 - 5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5</v>
      </c>
      <c r="AE91" s="124" t="str">
        <f>J77</f>
        <v>Croatia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4</v>
      </c>
      <c r="AJ91" s="123">
        <f>VLOOKUP($AE91,$AE$8:$AQ$78,6,FALSE)</f>
        <v>6</v>
      </c>
      <c r="AK91" s="123" t="s">
        <v>3192</v>
      </c>
      <c r="AL91" s="123">
        <f>VLOOKUP($AE91,$AE$8:$AQ$78,8,FALSE)</f>
        <v>-2</v>
      </c>
      <c r="AM91" s="123">
        <f t="shared" si="44"/>
        <v>3</v>
      </c>
      <c r="AN91" s="123">
        <f>VLOOKUP($AE91,$AE$8:$AQ$78,10,FALSE)</f>
        <v>3</v>
      </c>
      <c r="AP91" s="123">
        <f>AN91/AN92*10000+AM91/AM92*1000+AI91/AI92*100+IF(AQ91=0,ROW(),AQ91)/2000000</f>
        <v>6495.2389537730951</v>
      </c>
      <c r="AQ91" s="126">
        <f t="shared" si="37"/>
        <v>1717.07</v>
      </c>
      <c r="AR91" s="125" t="str">
        <f t="shared" si="50"/>
        <v>ACDEHIKL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3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Ⓙ Algeria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3 - 7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8</v>
      </c>
      <c r="AL92" s="123">
        <f>MIN(AL80:AL91)</f>
        <v>-5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3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Belgium</v>
      </c>
      <c r="T103" s="127" t="str" cm="1">
        <f t="array" ref="T103">IF(OR(S103="",S103="draw"),INDEX(T,99,lang),S103)</f>
        <v>Belgium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Spain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Spain</v>
      </c>
    </row>
    <row r="107" spans="18:29" x14ac:dyDescent="0.3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796875" defaultRowHeight="14.5" x14ac:dyDescent="0.35"/>
  <cols>
    <col min="1" max="1" width="2.453125" style="82" customWidth="1"/>
    <col min="2" max="2" width="9.1796875" style="81"/>
    <col min="3" max="3" width="13.7265625" style="81" customWidth="1"/>
    <col min="4" max="11" width="9.453125" style="81" customWidth="1"/>
    <col min="12" max="16384" width="9.1796875" style="82"/>
  </cols>
  <sheetData>
    <row r="1" spans="2:11" ht="8.25" customHeight="1" x14ac:dyDescent="0.35"/>
    <row r="2" spans="2:11" ht="21" x14ac:dyDescent="0.35">
      <c r="B2" s="108" t="s">
        <v>3193</v>
      </c>
    </row>
    <row r="3" spans="2:11" x14ac:dyDescent="0.35">
      <c r="B3" s="109">
        <f>MATCH(C3,C6:C500,0)</f>
        <v>253</v>
      </c>
      <c r="C3" s="121" t="str">
        <f>'2026 World Cup'!AR91</f>
        <v>ACDEHIKL</v>
      </c>
      <c r="D3" s="121" t="str">
        <f>VLOOKUP($C3,$C$6:$K$500,2,FALSE)</f>
        <v>3H</v>
      </c>
      <c r="E3" s="121" t="str">
        <f>VLOOKUP($C3,$C$6:$K$500,3,FALSE)</f>
        <v>3E</v>
      </c>
      <c r="F3" s="121" t="str">
        <f>VLOOKUP($C3,$C$6:$K$500,4,FALSE)</f>
        <v>3I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3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089E83-1D01-4BDB-B911-1D5500071C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ec4a-16e0-4c23-af47-b0328532aa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90E04E-44F7-4176-9B8D-A1C9EC3361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3B324B-D69E-45AC-9F4D-A73400D01C56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3dacec4a-16e0-4c23-af47-b0328532aa0c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Runa Brandal Myklebust</cp:lastModifiedBy>
  <cp:revision/>
  <dcterms:created xsi:type="dcterms:W3CDTF">2017-12-27T19:32:51Z</dcterms:created>
  <dcterms:modified xsi:type="dcterms:W3CDTF">2026-06-12T14:25:12Z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