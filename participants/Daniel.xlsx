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F4504B78-379A-4602-BD1B-BE31C13D2714}" xr6:coauthVersionLast="47" xr6:coauthVersionMax="47" xr10:uidLastSave="{00000000-0000-0000-0000-000000000000}"/>
  <bookViews>
    <workbookView xWindow="3510" yWindow="3510" windowWidth="26280" windowHeight="17775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T21" i="3"/>
  <c r="S42" i="3"/>
  <c r="S64" i="3"/>
  <c r="T41" i="3"/>
  <c r="S40" i="3"/>
  <c r="S62" i="3"/>
  <c r="T61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R7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68" i="3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J36" i="3" l="1"/>
  <c r="L72" i="3"/>
  <c r="N72" i="3"/>
  <c r="M72" i="3"/>
  <c r="J70" i="3"/>
  <c r="AS69" i="3" s="1"/>
  <c r="BL26" i="3" s="1"/>
  <c r="L71" i="3"/>
  <c r="O70" i="3"/>
  <c r="N70" i="3"/>
  <c r="O69" i="3"/>
  <c r="L69" i="3"/>
  <c r="O72" i="3"/>
  <c r="N69" i="3"/>
  <c r="M69" i="3"/>
  <c r="J69" i="3"/>
  <c r="AS68" i="3" s="1"/>
  <c r="BL70" i="3" s="1"/>
  <c r="O34" i="3"/>
  <c r="L36" i="3"/>
  <c r="N36" i="3"/>
  <c r="O71" i="3"/>
  <c r="N71" i="3"/>
  <c r="N35" i="3"/>
  <c r="M71" i="3"/>
  <c r="O36" i="3"/>
  <c r="J33" i="3"/>
  <c r="AS32" i="3" s="1"/>
  <c r="BL10" i="3" s="1"/>
  <c r="M35" i="3"/>
  <c r="J72" i="3"/>
  <c r="J71" i="3"/>
  <c r="AE90" i="3" s="1"/>
  <c r="AQ90" i="3" s="1"/>
  <c r="M70" i="3"/>
  <c r="L70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S86" i="3" s="1"/>
  <c r="T86" i="3" s="1" a="1"/>
  <c r="T86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BS28" i="3"/>
  <c r="P71" i="3"/>
  <c r="P72" i="3"/>
  <c r="K72" i="3"/>
  <c r="K69" i="3"/>
  <c r="P69" i="3"/>
  <c r="K71" i="3"/>
  <c r="P34" i="3"/>
  <c r="K70" i="3"/>
  <c r="K36" i="3"/>
  <c r="AJ90" i="3"/>
  <c r="P12" i="3"/>
  <c r="AI90" i="3"/>
  <c r="P70" i="3"/>
  <c r="AF90" i="3"/>
  <c r="AG90" i="3"/>
  <c r="AT90" i="3"/>
  <c r="AH90" i="3"/>
  <c r="AN90" i="3"/>
  <c r="AL90" i="3"/>
  <c r="P35" i="3"/>
  <c r="P33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I3" i="4"/>
  <c r="BL15" i="3" s="1"/>
  <c r="D3" i="4"/>
  <c r="BL51" i="3" s="1"/>
  <c r="BS53" i="3"/>
  <c r="BS52" i="3"/>
  <c r="BZ49" i="3" s="1"/>
  <c r="CG55" i="3" s="1"/>
  <c r="CN49" i="3" s="1"/>
  <c r="BS69" i="3"/>
  <c r="BZ65" i="3" s="1"/>
  <c r="CG56" i="3" s="1"/>
  <c r="CN38" i="3" s="1"/>
  <c r="BS68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<sst xmlns="http://schemas.openxmlformats.org/spreadsheetml/2006/main" count="9786" uniqueCount="3698">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</sst>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O39" sqref="CO3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3</v>
      </c>
      <c r="AL8" s="123">
        <f>AI8-AJ8</f>
        <v>5</v>
      </c>
      <c r="AM8" s="123">
        <f>AL8-AL12</f>
        <v>8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90000009.778618306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2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1.9806451612903224</v>
      </c>
      <c r="AP9" s="123">
        <f>AO9*10000000+BI9*100+AM9/AM12*10+AI9/AI12*1++IF(AQ9=0,ROW(),AQ9)/2000000</f>
        <v>19806550.01146755</v>
      </c>
      <c r="AQ9" s="126">
        <f>VLOOKUP(AE9,db_fifarank,2,FALSE)</f>
        <v>1429.73</v>
      </c>
      <c r="AR9" s="125">
        <f>AP9/AP12</f>
        <v>0.22007275154874847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1</v>
      </c>
      <c r="AV9" s="126" cm="1">
        <f t="array" ref="AV9">SUMPRODUCT(($E$7:$E$78=AE9)*($U$7:$U$78)*($F$7:$F$78))+SUMPRODUCT(($H$7:$H$78=AE9)*($U$7:$U$78)*($G$7:$G$78))</f>
        <v>2</v>
      </c>
      <c r="AW9" s="126" cm="1">
        <f t="array" ref="AW9">SUMPRODUCT(($E$7:$E$78=AE9)*($U$7:$U$78)*($G$7:$G$78))+SUMPRODUCT(($H$7:$H$78=AE9)*($U$7:$U$78)*($F$7:$F$78))</f>
        <v>2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50.666666666666664</v>
      </c>
      <c r="BA9" s="126">
        <f>AZ9/AZ12</f>
        <v>0.98064516129032253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1</v>
      </c>
      <c r="BD9" s="126" cm="1">
        <f t="array" ref="BD9">SUMPRODUCT(($E$7:$E$78=AE9)*($X$7:$X$78)*($F$7:$F$78))+SUMPRODUCT(($H$7:$H$78=AE9)*($X$7:$X$78)*($G$7:$G$78))</f>
        <v>2</v>
      </c>
      <c r="BE9" s="126" cm="1">
        <f t="array" ref="BE9">SUMPRODUCT(($E$7:$E$78=AE9)*($X$7:$X$78)*($G$7:$G$78))+SUMPRODUCT(($H$7:$H$78=AE9)*($X$7:$X$78)*($F$7:$F$78))</f>
        <v>2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50.666666666666664</v>
      </c>
      <c r="BI9" s="126">
        <f>BH9/BH12</f>
        <v>0.98064516129032253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6 - 5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6</v>
      </c>
      <c r="AJ10" s="123">
        <f>SUMIF($E$7:$E$78,$AE10,$G$7:$G$78) + SUMIF($H$7:$H$78,$AE10,$F$7:$F$78)</f>
        <v>5</v>
      </c>
      <c r="AL10" s="123">
        <f>AI10-AJ10</f>
        <v>1</v>
      </c>
      <c r="AM10" s="123">
        <f>AL10-AL12</f>
        <v>4</v>
      </c>
      <c r="AN10" s="123">
        <f>AF10*3+AG10</f>
        <v>6</v>
      </c>
      <c r="AO10" s="123">
        <f>AN10/AN12*10+BA10</f>
        <v>6</v>
      </c>
      <c r="AP10" s="123">
        <f>AO10*10000000+BI10*100+AM10/AM12*10+AI10/AI12*1++IF(AQ10=0,ROW(),AQ10)/2000000</f>
        <v>60000005.111905441</v>
      </c>
      <c r="AQ10" s="126">
        <f>VLOOKUP(AE10,db_fifarank,2,FALSE)</f>
        <v>1588.66</v>
      </c>
      <c r="AR10" s="125">
        <f>AP10/AP12</f>
        <v>0.66666664362400163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4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4000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4 - 7</v>
      </c>
      <c r="P11" s="34">
        <f>L11*3+M11</f>
        <v>1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7</v>
      </c>
      <c r="AL11" s="123">
        <f>AI11-AJ11</f>
        <v>-3</v>
      </c>
      <c r="AM11" s="123">
        <f>AL11-AL12</f>
        <v>0</v>
      </c>
      <c r="AN11" s="123">
        <f>AF11*3+AG11</f>
        <v>1</v>
      </c>
      <c r="AO11" s="123">
        <f>AN11/AN12*10+BA11</f>
        <v>1.9806451612903224</v>
      </c>
      <c r="AP11" s="123">
        <f>AO11*10000000+BI11*100+AM11/AM12*10+AI11/AI12*1++IF(AQ11=0,ROW(),AQ11)/2000000</f>
        <v>19806550.122614488</v>
      </c>
      <c r="AQ11" s="126">
        <f>VLOOKUP(AE11,db_fifarank,2,FALSE)</f>
        <v>1501.38</v>
      </c>
      <c r="AR11" s="125">
        <f>AP11/AP12</f>
        <v>0.2200727527837143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2</v>
      </c>
      <c r="AW11" s="126" cm="1">
        <f t="array" ref="AW11">SUMPRODUCT(($E$7:$E$78=AE11)*($U$7:$U$78)*($G$7:$G$78))+SUMPRODUCT(($H$7:$H$78=AE11)*($U$7:$U$78)*($F$7:$F$78))</f>
        <v>2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50.666666666666664</v>
      </c>
      <c r="BA11" s="126">
        <f>AZ11/AZ12</f>
        <v>0.98064516129032253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2</v>
      </c>
      <c r="BE11" s="126" cm="1">
        <f t="array" ref="BE11">SUMPRODUCT(($E$7:$E$78=AE11)*($X$7:$X$78)*($G$7:$G$78))+SUMPRODUCT(($H$7:$H$78=AE11)*($X$7:$X$78)*($F$7:$F$78))</f>
        <v>2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50.666666666666664</v>
      </c>
      <c r="BI11" s="126">
        <f>BH11/BH12</f>
        <v>0.98064516129032253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3 - 6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9</v>
      </c>
      <c r="AL12" s="123">
        <f>MIN(AL8:AL11)</f>
        <v>-3</v>
      </c>
      <c r="AM12" s="123">
        <f>MAX(AM8:AM11)+1</f>
        <v>9</v>
      </c>
      <c r="AN12" s="123">
        <f>MAX(AN8:AN11)+1</f>
        <v>10</v>
      </c>
      <c r="AO12" s="123">
        <f>MAX(AO8:AO11)+1</f>
        <v>10</v>
      </c>
      <c r="AP12" s="123">
        <f>MAX(AP8:AP11)+1</f>
        <v>90000010.778618306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3</v>
      </c>
      <c r="AW12" s="126">
        <f>MAX(AW8:AW11)-MIN(AW8:AW11)+1</f>
        <v>3</v>
      </c>
      <c r="AY12" s="126">
        <f>MAX(AY8:AY11)-MIN(AY8:AY11)+1</f>
        <v>1</v>
      </c>
      <c r="AZ12" s="126">
        <f>MAX(AZ8:AZ11)+1</f>
        <v>51.666666666666664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3</v>
      </c>
      <c r="BE12" s="126">
        <f>MAX(BE8:BE11)-MIN(BE8:BE11)+1</f>
        <v>3</v>
      </c>
      <c r="BG12" s="126">
        <f>MAX(BG8:BG11)-MIN(BG8:BG11)+1</f>
        <v>1</v>
      </c>
      <c r="BH12" s="126">
        <f>MAX(BH8:BH11)+1</f>
        <v>51.666666666666664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>
        <v>3</v>
      </c>
      <c r="BV12" s="25">
        <v>3</v>
      </c>
      <c r="BW12" s="112">
        <f>IF(OR(BT12="",BT13="",AND(BU12="",BU13&lt;&gt;""),AND(BU13="",BU12&lt;&gt;""),AND(BV12="",BV13&lt;&gt;""),AND(BV13="",BV12&lt;&gt;"")),"",BT12*1000+BU12*10+BV12)</f>
        <v>2033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Norway</v>
      </c>
      <c r="BT13" s="62">
        <v>2</v>
      </c>
      <c r="BU13" s="64">
        <v>3</v>
      </c>
      <c r="BV13" s="27">
        <v>4</v>
      </c>
      <c r="BW13" s="113">
        <f>IF(BW12="","",BT13*1000+BU13*10+BV13)</f>
        <v>2034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0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4</v>
      </c>
      <c r="AL14" s="123">
        <f>AI14-AJ14</f>
        <v>-2</v>
      </c>
      <c r="AM14" s="123">
        <f>AL14-AL18</f>
        <v>2</v>
      </c>
      <c r="AN14" s="123">
        <f>AF14*3+AG14</f>
        <v>3</v>
      </c>
      <c r="AO14" s="123">
        <f>AN14/AN18*10+BA14</f>
        <v>3</v>
      </c>
      <c r="AP14" s="123">
        <f>AO14*10000000+BI14*100+AM14/AM18*10+AI14/AI18*1++IF(AQ14=0,ROW(),AQ14)/2000000</f>
        <v>30000002.286492527</v>
      </c>
      <c r="AQ14" s="126">
        <f>VLOOKUP(AE14,db_fifarank,2,FALSE)</f>
        <v>1556.48</v>
      </c>
      <c r="AR14" s="125">
        <f>AP14/AP18</f>
        <v>0.33333331852411296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Norway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0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5</v>
      </c>
      <c r="AJ15" s="123">
        <f>SUMIF($E$7:$E$78,$AE15,$G$7:$G$78) + SUMIF($H$7:$H$78,$AE15,$F$7:$F$78)</f>
        <v>4</v>
      </c>
      <c r="AL15" s="123">
        <f>AI15-AJ15</f>
        <v>1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60000005.714978635</v>
      </c>
      <c r="AQ15" s="126">
        <f>VLOOKUP(AE15,db_fifarank,2,FALSE)</f>
        <v>1385.84</v>
      </c>
      <c r="AR15" s="125">
        <f>AP15/AP18</f>
        <v>0.66666664973704204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Japan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5 - 4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5</v>
      </c>
      <c r="AL16" s="123">
        <f>AI16-AJ16</f>
        <v>-4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0.14358462285714285</v>
      </c>
      <c r="AQ16" s="126">
        <f>VLOOKUP(AE16,db_fifarank,2,FALSE)</f>
        <v>1454.96</v>
      </c>
      <c r="AR16" s="125">
        <f>AP16/AP18</f>
        <v>1.595384505938996E-9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Norway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9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90000009.857967556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1 - 5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7</v>
      </c>
      <c r="AL18" s="123">
        <f>MIN(AL14:AL17)</f>
        <v>-4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90000010.857967556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2</v>
      </c>
      <c r="BN18" s="63">
        <v>3</v>
      </c>
      <c r="BO18" s="25"/>
      <c r="BP18" s="112">
        <f>IF(OR(BM18="",BM19="",AND(BN18="",BN19&lt;&gt;""),AND(BN19="",BN18&lt;&gt;""),AND(BO18="",BO19&lt;&gt;""),AND(BO19="",BO18&lt;&gt;"")),"",BM18*1000+BN18*10+BO18)</f>
        <v>2030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2</v>
      </c>
      <c r="BN19" s="64">
        <v>2</v>
      </c>
      <c r="BO19" s="27"/>
      <c r="BP19" s="113">
        <f>IF(BP18="","",BM19*1000+BN19*10+BO19)</f>
        <v>2020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2</v>
      </c>
      <c r="AL20" s="123">
        <f>AI20-AJ20</f>
        <v>8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90000010.383655697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1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1000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12</v>
      </c>
      <c r="AN21" s="123">
        <f>AF21*3+AG21</f>
        <v>4</v>
      </c>
      <c r="AO21" s="123">
        <f>AN21/AN24*10+BA21</f>
        <v>4.9806451612903224</v>
      </c>
      <c r="AP21" s="123">
        <f>AO21*10000000+BI21*100+AM21/AM24*10+AI21/AI24*1++IF(AQ21=0,ROW(),AQ21)/2000000</f>
        <v>49806556.539541304</v>
      </c>
      <c r="AQ21" s="126">
        <f>VLOOKUP(AE21,db_fifarank,2,FALSE)</f>
        <v>1755.87</v>
      </c>
      <c r="AR21" s="125">
        <f>AP21/AP24</f>
        <v>0.55340611377507387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Morocco</v>
      </c>
      <c r="BT21" s="62">
        <v>2</v>
      </c>
      <c r="BU21" s="64"/>
      <c r="BV21" s="27"/>
      <c r="BW21" s="112">
        <f>IF(BW20="","",BT21*1000+BU21*10+BV21)</f>
        <v>2000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4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10</v>
      </c>
      <c r="AL22" s="123">
        <f>AI22-AJ22</f>
        <v>-10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7.1761657589888858E-12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2</v>
      </c>
      <c r="BO22" s="25">
        <v>2</v>
      </c>
      <c r="BP22" s="116">
        <f>IF(OR(BM22="",BM23="",AND(BN22="",BN23&lt;&gt;""),AND(BN23="",BN22&lt;&gt;""),AND(BO22="",BO23&lt;&gt;""),AND(BO23="",BO22&lt;&gt;"")),"",BM22*1000+BN22*10+BO22)</f>
        <v>2022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6 - 6</v>
      </c>
      <c r="P23" s="34">
        <f>L23*3+M23</f>
        <v>4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6</v>
      </c>
      <c r="AJ23" s="123">
        <f>SUMIF($E$7:$E$78,$AE23,$G$7:$G$78) + SUMIF($H$7:$H$78,$AE23,$F$7:$F$78)</f>
        <v>6</v>
      </c>
      <c r="AL23" s="123">
        <f>AI23-AJ23</f>
        <v>0</v>
      </c>
      <c r="AM23" s="123">
        <f>AL23-AL24</f>
        <v>10</v>
      </c>
      <c r="AN23" s="123">
        <f>AF23*3+AG23</f>
        <v>4</v>
      </c>
      <c r="AO23" s="123">
        <f>AN23/AN24*10+BA23</f>
        <v>4.9806451612903224</v>
      </c>
      <c r="AP23" s="123">
        <f>AO23*10000000+BI23*100+AM23/AM24*10+AI23/AI24*1++IF(AQ23=0,ROW(),AQ23)/2000000</f>
        <v>49806555.486780971</v>
      </c>
      <c r="AQ23" s="126">
        <f>VLOOKUP(AE23,db_fifarank,2,FALSE)</f>
        <v>1498.35</v>
      </c>
      <c r="AR23" s="125">
        <f>AP23/AP24</f>
        <v>0.55340610207773833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2</v>
      </c>
      <c r="AW23" s="126" cm="1">
        <f t="array" ref="AW23">SUMPRODUCT(($E$7:$E$78=AE23)*($U$7:$U$78)*($G$7:$G$78))+SUMPRODUCT(($H$7:$H$78=AE23)*($U$7:$U$78)*($F$7:$F$78))</f>
        <v>2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50.666666666666664</v>
      </c>
      <c r="BA23" s="126">
        <f>AZ23/AZ24</f>
        <v>0.98064516129032253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2</v>
      </c>
      <c r="BE23" s="126" cm="1">
        <f t="array" ref="BE23">SUMPRODUCT(($E$7:$E$78=AE23)*($X$7:$X$78)*($G$7:$G$78))+SUMPRODUCT(($H$7:$H$78=AE23)*($X$7:$X$78)*($F$7:$F$78))</f>
        <v>2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50.666666666666664</v>
      </c>
      <c r="BI23" s="126">
        <f>BH23/BH24</f>
        <v>0.98064516129032253</v>
      </c>
      <c r="BK23" s="142"/>
      <c r="BL23" s="26" t="str">
        <f>AS21</f>
        <v>Morocco</v>
      </c>
      <c r="BM23" s="62">
        <v>2</v>
      </c>
      <c r="BN23" s="64">
        <v>2</v>
      </c>
      <c r="BO23" s="27">
        <v>3</v>
      </c>
      <c r="BP23" s="112">
        <f>IF(BP22="","",BM23*1000+BN23*10+BO23)</f>
        <v>2023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Norway</v>
      </c>
      <c r="CH23" s="61">
        <v>2</v>
      </c>
      <c r="CI23" s="63">
        <v>2</v>
      </c>
      <c r="CJ23" s="25">
        <v>3</v>
      </c>
      <c r="CK23" s="112">
        <f>IF(OR(CH23="",CH24="",AND(CI23="",CI24&lt;&gt;""),AND(CI24="",CI23&lt;&gt;""),AND(CJ23="",CJ24&lt;&gt;""),AND(CJ24="",CJ23&lt;&gt;"")),"",CH23*1000+CI23*10+CJ23)</f>
        <v>2023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0 - 10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-10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90000011.383655697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>
        <v>2</v>
      </c>
      <c r="CJ24" s="27">
        <v>2</v>
      </c>
      <c r="CK24" s="113">
        <f>IF(CK23="","",CH24*1000+CI24*10+CJ24)</f>
        <v>2022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1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5</v>
      </c>
      <c r="AL26" s="123">
        <f>AI26-AJ26</f>
        <v>-1</v>
      </c>
      <c r="AM26" s="123">
        <f>AL26-AL30</f>
        <v>2</v>
      </c>
      <c r="AN26" s="123">
        <f>AF26*3+AG26</f>
        <v>4</v>
      </c>
      <c r="AO26" s="123">
        <f>AN26/AN30*10+BA26</f>
        <v>5</v>
      </c>
      <c r="AP26" s="123">
        <f>AO26*10000000+BI26*100+AM26/AM30*10+AI26/AI30*1++IF(AQ26=0,ROW(),AQ26)/2000000</f>
        <v>50000002.945281014</v>
      </c>
      <c r="AQ26" s="126">
        <f>VLOOKUP(AE26,db_fifarank,2,FALSE)</f>
        <v>1673.13</v>
      </c>
      <c r="AR26" s="125">
        <f>AP26/AP30</f>
        <v>0.57142853560525075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2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8 - 4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3</v>
      </c>
      <c r="AH27" s="123">
        <f>COUNTIF($S$7:$T$78,"=" &amp; AE27 &amp; "_lose")</f>
        <v>0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4</v>
      </c>
      <c r="AL27" s="123">
        <f>AI27-AJ27</f>
        <v>0</v>
      </c>
      <c r="AM27" s="123">
        <f>AL27-AL30</f>
        <v>3</v>
      </c>
      <c r="AN27" s="123">
        <f>AF27*3+AG27</f>
        <v>3</v>
      </c>
      <c r="AO27" s="123">
        <f>AN27/AN30*10+BA27</f>
        <v>3.75</v>
      </c>
      <c r="AP27" s="123">
        <f>AO27*10000000+BI27*100+AM27/AM30*10+AI27/AI30*1++IF(AQ27=0,ROW(),AQ27)/2000000</f>
        <v>37500004.195196196</v>
      </c>
      <c r="AQ27" s="126">
        <f>VLOOKUP(AE27,db_fifarank,2,FALSE)</f>
        <v>1503.5</v>
      </c>
      <c r="AR27" s="125">
        <f>AP27/AP30</f>
        <v>0.42857142440376889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England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4 - 5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0</v>
      </c>
      <c r="AN28" s="123">
        <f>AF28*3+AG28</f>
        <v>1</v>
      </c>
      <c r="AO28" s="123">
        <f>AN28/AN30*10+BA28</f>
        <v>1.25</v>
      </c>
      <c r="AP28" s="123">
        <f>AO28*10000000+BI28*100+AM28/AM30*10+AI28/AI30*1++IF(AQ28=0,ROW(),AQ28)/2000000</f>
        <v>12500000.334123669</v>
      </c>
      <c r="AQ28" s="126">
        <f>VLOOKUP(AE28,db_fifarank,2,FALSE)</f>
        <v>1580.67</v>
      </c>
      <c r="AR28" s="125">
        <f>AP28/AP30</f>
        <v>0.14285712930478087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England</v>
      </c>
      <c r="BT28" s="61">
        <v>3</v>
      </c>
      <c r="BU28" s="63">
        <v>3</v>
      </c>
      <c r="BV28" s="25">
        <v>3</v>
      </c>
      <c r="BW28" s="112">
        <f>IF(OR(BT28="",BT29="",AND(BU28="",BU29&lt;&gt;""),AND(BU29="",BU28&lt;&gt;""),AND(BV28="",BV29&lt;&gt;""),AND(BV29="",BV28&lt;&gt;"")),"",BT28*1000+BU28*10+BV28)</f>
        <v>3033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4 - 4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8</v>
      </c>
      <c r="AJ29" s="123">
        <f>SUMIF($E$7:$E$78,$AE29,$G$7:$G$78) + SUMIF($H$7:$H$78,$AE29,$F$7:$F$78)</f>
        <v>4</v>
      </c>
      <c r="AL29" s="123">
        <f>AI29-AJ29</f>
        <v>4</v>
      </c>
      <c r="AM29" s="123">
        <f>AL29-AL30</f>
        <v>7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87500009.639688417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>
        <v>3</v>
      </c>
      <c r="BV29" s="27">
        <v>4</v>
      </c>
      <c r="BW29" s="113">
        <f>IF(BW28="","",BT29*1000+BU29*10+BV29)</f>
        <v>3034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3 - 6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9</v>
      </c>
      <c r="AL30" s="123">
        <f>MIN(AL26:AL29)</f>
        <v>-3</v>
      </c>
      <c r="AM30" s="123">
        <f>MAX(AM26:AM29)+1</f>
        <v>8</v>
      </c>
      <c r="AN30" s="123">
        <f>MAX(AN26:AN29)+1</f>
        <v>8</v>
      </c>
      <c r="AO30" s="123">
        <f>MAX(AO26:AO29)+1</f>
        <v>9.75</v>
      </c>
      <c r="AP30" s="123">
        <f>MAX(AP26:AP29)+1</f>
        <v>87500010.639688417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4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4000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1</v>
      </c>
      <c r="V31" s="123">
        <f t="shared" si="3"/>
        <v>2</v>
      </c>
      <c r="W31" s="123">
        <f t="shared" si="4"/>
        <v>2</v>
      </c>
      <c r="X31" s="123">
        <f t="shared" si="9"/>
        <v>1</v>
      </c>
      <c r="Y31" s="123">
        <f t="shared" si="10"/>
        <v>2</v>
      </c>
      <c r="Z31" s="123">
        <f t="shared" si="11"/>
        <v>2</v>
      </c>
      <c r="AA31" s="123">
        <f t="shared" si="5"/>
        <v>0</v>
      </c>
      <c r="AB31" s="123">
        <f t="shared" si="6"/>
        <v>0</v>
      </c>
      <c r="BK31" s="142"/>
      <c r="BL31" s="26" t="str">
        <f>AS63</f>
        <v>Austria</v>
      </c>
      <c r="BM31" s="62">
        <v>2</v>
      </c>
      <c r="BN31" s="64"/>
      <c r="BO31" s="27"/>
      <c r="BP31" s="112">
        <f>IF(BP30="","",BM31*1000+BN31*10+BO31)</f>
        <v>2000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0</v>
      </c>
      <c r="AL32" s="123">
        <f>AI32-AJ32</f>
        <v>10</v>
      </c>
      <c r="AM32" s="123">
        <f>AL32-AL36</f>
        <v>16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90000010.321720809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4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4000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8</v>
      </c>
      <c r="AL33" s="123">
        <f>AI33-AJ33</f>
        <v>-6</v>
      </c>
      <c r="AM33" s="123">
        <f>AL33-AL36</f>
        <v>0</v>
      </c>
      <c r="AN33" s="123">
        <f>AF33*3+AG33</f>
        <v>1</v>
      </c>
      <c r="AO33" s="123">
        <f>AN33/AN36*10+BA33</f>
        <v>1.9806451612903224</v>
      </c>
      <c r="AP33" s="123">
        <f>AO33*10000000+BI33*100+AM33/AM36*10+AI33/AI36*1++IF(AQ33=0,ROW(),AQ33)/2000000</f>
        <v>19806549.859884862</v>
      </c>
      <c r="AQ33" s="126">
        <f>VLOOKUP(AE33,db_fifarank,2,FALSE)</f>
        <v>1294.6500000000001</v>
      </c>
      <c r="AR33" s="125">
        <f>AP33/AP36</f>
        <v>0.22007274853647385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2</v>
      </c>
      <c r="AW33" s="126" cm="1">
        <f t="array" ref="AW33">SUMPRODUCT(($E$7:$E$78=AE33)*($U$7:$U$78)*($G$7:$G$78))+SUMPRODUCT(($H$7:$H$78=AE33)*($U$7:$U$78)*($F$7:$F$78))</f>
        <v>2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50.666666666666664</v>
      </c>
      <c r="BA33" s="126">
        <f>AZ33/AZ36</f>
        <v>0.98064516129032253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2</v>
      </c>
      <c r="BE33" s="126" cm="1">
        <f t="array" ref="BE33">SUMPRODUCT(($E$7:$E$78=AE33)*($X$7:$X$78)*($G$7:$G$78))+SUMPRODUCT(($H$7:$H$78=AE33)*($X$7:$X$78)*($F$7:$F$78))</f>
        <v>2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50.666666666666664</v>
      </c>
      <c r="BI33" s="126">
        <f>BH33/BH36</f>
        <v>0.98064516129032253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2</v>
      </c>
      <c r="CB33" s="64"/>
      <c r="CC33" s="27"/>
      <c r="CD33" s="112">
        <f>IF(CD32="","",CA33*1000+CB33*10+CC33)</f>
        <v>2000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7</v>
      </c>
      <c r="AL34" s="123">
        <f>AI34-AJ34</f>
        <v>-5</v>
      </c>
      <c r="AM34" s="123">
        <f>AL34-AL36</f>
        <v>1</v>
      </c>
      <c r="AN34" s="123">
        <f>AF34*3+AG34</f>
        <v>1</v>
      </c>
      <c r="AO34" s="123">
        <f>AN34/AN36*10+BA34</f>
        <v>1.9806451612903224</v>
      </c>
      <c r="AP34" s="123">
        <f>AO34*10000000+BI34*100+AM34/AM36*10+AI34/AI36*1++IF(AQ34=0,ROW(),AQ34)/2000000</f>
        <v>19806550.448239319</v>
      </c>
      <c r="AQ34" s="126">
        <f>VLOOKUP(AE34,db_fifarank,2,FALSE)</f>
        <v>1532.98</v>
      </c>
      <c r="AR34" s="125">
        <f>AP34/AP36</f>
        <v>0.22007275507374477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2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50.666666666666664</v>
      </c>
      <c r="BA34" s="126">
        <f>AZ34/AZ36</f>
        <v>0.98064516129032253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2</v>
      </c>
      <c r="BE34" s="126" cm="1">
        <f t="array" ref="BE34">SUMPRODUCT(($E$7:$E$78=AE34)*($X$7:$X$78)*($G$7:$G$78))+SUMPRODUCT(($H$7:$H$78=AE34)*($X$7:$X$78)*($F$7:$F$78))</f>
        <v>2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50.666666666666664</v>
      </c>
      <c r="BI34" s="126">
        <f>BH34/BH36</f>
        <v>0.98064516129032253</v>
      </c>
      <c r="BK34" s="141">
        <v>81</v>
      </c>
      <c r="BL34" s="24" t="str">
        <f>AS26</f>
        <v>Turkey</v>
      </c>
      <c r="BM34" s="61">
        <v>4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4000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2 - 7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3</v>
      </c>
      <c r="AL35" s="123">
        <f>AI35-AJ35</f>
        <v>1</v>
      </c>
      <c r="AM35" s="123">
        <f>AL35-AL36</f>
        <v>7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60000004.482080817</v>
      </c>
      <c r="AQ35" s="126">
        <f>VLOOKUP(AE35,db_fifarank,2,FALSE)</f>
        <v>1594.78</v>
      </c>
      <c r="AR35" s="125">
        <f>AP35/AP36</f>
        <v>0.66666663260297032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Canada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2 - 8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2</v>
      </c>
      <c r="W36" s="123">
        <f t="shared" si="4"/>
        <v>2</v>
      </c>
      <c r="X36" s="123">
        <f t="shared" si="9"/>
        <v>1</v>
      </c>
      <c r="Y36" s="123">
        <f t="shared" si="10"/>
        <v>2</v>
      </c>
      <c r="Z36" s="123">
        <f t="shared" si="11"/>
        <v>2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11</v>
      </c>
      <c r="AL36" s="123">
        <f>MIN(AL32:AL35)</f>
        <v>-6</v>
      </c>
      <c r="AM36" s="123">
        <f>MAX(AM32:AM35)+1</f>
        <v>17</v>
      </c>
      <c r="AN36" s="123">
        <f>MAX(AN32:AN35)+1</f>
        <v>10</v>
      </c>
      <c r="AO36" s="123">
        <f>MAX(AO32:AO35)+1</f>
        <v>10</v>
      </c>
      <c r="AP36" s="123">
        <f>MAX(AP32:AP35)+1</f>
        <v>90000011.321720809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1</v>
      </c>
      <c r="AZ36" s="126">
        <f>MAX(AZ32:AZ35)+1</f>
        <v>51.666666666666664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3</v>
      </c>
      <c r="BE36" s="126">
        <f>MAX(BE32:BE35)-MIN(BE32:BE35)+1</f>
        <v>3</v>
      </c>
      <c r="BG36" s="126">
        <f>MAX(BG32:BG35)-MIN(BG32:BG35)+1</f>
        <v>1</v>
      </c>
      <c r="BH36" s="126">
        <f>MAX(BH32:BH35)+1</f>
        <v>51.666666666666664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Turkey</v>
      </c>
      <c r="BT36" s="61">
        <v>2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2020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2</v>
      </c>
      <c r="BU37" s="64">
        <v>3</v>
      </c>
      <c r="BV37" s="27"/>
      <c r="BW37" s="112">
        <f>IF(BW36="","",BT37*1000+BU37*10+BV37)</f>
        <v>2030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Norway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3</v>
      </c>
      <c r="AL38" s="123">
        <f>AI38-AJ38</f>
        <v>6</v>
      </c>
      <c r="AM38" s="123">
        <f>AL38-AL42</f>
        <v>11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90000010.067545608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0</v>
      </c>
      <c r="AH39" s="123">
        <f>COUNTIF($S$7:$T$78,"=" &amp; AE39 &amp; "_lose")</f>
        <v>2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6</v>
      </c>
      <c r="AL39" s="123">
        <f>AI39-AJ39</f>
        <v>-1</v>
      </c>
      <c r="AM39" s="123">
        <f>AL39-AL42</f>
        <v>4</v>
      </c>
      <c r="AN39" s="123">
        <f>AF39*3+AG39</f>
        <v>3</v>
      </c>
      <c r="AO39" s="123">
        <f>AN39/AN42*10+BA39</f>
        <v>3</v>
      </c>
      <c r="AP39" s="123">
        <f>AO39*10000000+BI39*100+AM39/AM42*10+AI39/AI42*1++IF(AQ39=0,ROW(),AQ39)/2000000</f>
        <v>30000003.834163547</v>
      </c>
      <c r="AQ39" s="126">
        <f>VLOOKUP(AE39,db_fifarank,2,FALSE)</f>
        <v>1660.43</v>
      </c>
      <c r="AR39" s="125">
        <f>AP39/AP42</f>
        <v>0.33333333494424067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Saudi Arabia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6 - 6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2</v>
      </c>
      <c r="AG40" s="123">
        <f>COUNTIF($S$7:$T$78,"=" &amp; AE40 &amp; "_draw")</f>
        <v>0</v>
      </c>
      <c r="AH40" s="123">
        <f>COUNTIF($S$7:$T$78,"=" &amp; AE40 &amp; "_lose")</f>
        <v>1</v>
      </c>
      <c r="AI40" s="123">
        <f>SUMIF($E$7:$E$78,$AE40,$F$7:$F$78) + SUMIF($H$7:$H$78,$AE40,$G$7:$G$78)</f>
        <v>6</v>
      </c>
      <c r="AJ40" s="123">
        <f>SUMIF($E$7:$E$78,$AE40,$G$7:$G$78) + SUMIF($H$7:$H$78,$AE40,$F$7:$F$78)</f>
        <v>6</v>
      </c>
      <c r="AL40" s="123">
        <f>AI40-AJ40</f>
        <v>0</v>
      </c>
      <c r="AM40" s="123">
        <f>AL40-AL42</f>
        <v>5</v>
      </c>
      <c r="AN40" s="123">
        <f>AF40*3+AG40</f>
        <v>6</v>
      </c>
      <c r="AO40" s="123">
        <f>AN40/AN42*10+BA40</f>
        <v>6</v>
      </c>
      <c r="AP40" s="123">
        <f>AO40*10000000+BI40*100+AM40/AM42*10+AI40/AI42*1++IF(AQ40=0,ROW(),AQ40)/2000000</f>
        <v>60000004.767424047</v>
      </c>
      <c r="AQ40" s="126">
        <f>VLOOKUP(AE40,db_fifarank,2,FALSE)</f>
        <v>1514.77</v>
      </c>
      <c r="AR40" s="125">
        <f>AP40/AP42</f>
        <v>0.66666663765622924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5 - 6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8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0.30074152500000001</v>
      </c>
      <c r="AQ41" s="126">
        <f>VLOOKUP(AE41,db_fifarank,2,FALSE)</f>
        <v>1483.05</v>
      </c>
      <c r="AR41" s="125">
        <f>AP41/AP42</f>
        <v>3.3415720890777611E-9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3 - 8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10</v>
      </c>
      <c r="AL42" s="123">
        <f>MIN(AL38:AL41)</f>
        <v>-5</v>
      </c>
      <c r="AM42" s="123">
        <f>MAX(AM38:AM41)+1</f>
        <v>12</v>
      </c>
      <c r="AN42" s="123">
        <f>MAX(AN38:AN41)+1</f>
        <v>10</v>
      </c>
      <c r="AO42" s="123">
        <f>MAX(AO38:AO41)+1</f>
        <v>10</v>
      </c>
      <c r="AP42" s="123">
        <f>MAX(AP38:AP41)+1</f>
        <v>90000011.067545608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4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4000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3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Sweden</v>
      </c>
      <c r="BM43" s="62">
        <v>2</v>
      </c>
      <c r="BN43" s="64"/>
      <c r="BO43" s="27"/>
      <c r="BP43" s="113">
        <f>IF(BP42="","",BM43*1000+BN43*10+BO43)</f>
        <v>2000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0</v>
      </c>
      <c r="AL44" s="123">
        <f>AI44-AJ44</f>
        <v>7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90000010.042534024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7 - 0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4</v>
      </c>
      <c r="AL45" s="123">
        <f>AI45-AJ45</f>
        <v>-1</v>
      </c>
      <c r="AM45" s="123">
        <f>AL45-AL48</f>
        <v>3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40000002.875781618</v>
      </c>
      <c r="AQ45" s="126">
        <f>VLOOKUP(AE45,db_fifarank,2,FALSE)</f>
        <v>1563.24</v>
      </c>
      <c r="AR45" s="125">
        <f>AP45/AP48</f>
        <v>0.44444442186654409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France</v>
      </c>
      <c r="BT45" s="62">
        <v>3</v>
      </c>
      <c r="BU45" s="64"/>
      <c r="BV45" s="27"/>
      <c r="BW45" s="113">
        <f>IF(BW44="","",BT45*1000+BU45*10+BV45)</f>
        <v>3000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3 - 4</v>
      </c>
      <c r="P46" s="34">
        <f>L46*3+M46</f>
        <v>4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5</v>
      </c>
      <c r="AL46" s="123">
        <f>AI46-AJ46</f>
        <v>-2</v>
      </c>
      <c r="AM46" s="123">
        <f>AL46-AL48</f>
        <v>2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20000002.042474318</v>
      </c>
      <c r="AQ46" s="126">
        <f>VLOOKUP(AE46,db_fifarank,2,FALSE)</f>
        <v>1615.3</v>
      </c>
      <c r="AR46" s="125">
        <f>AP46/AP48</f>
        <v>0.22222221765086578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3 - 5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10000000.125640785</v>
      </c>
      <c r="AQ47" s="126">
        <f>VLOOKUP(AE47,db_fifarank,2,FALSE)</f>
        <v>1281.57</v>
      </c>
      <c r="AR47" s="125">
        <f>AP47/AP48</f>
        <v>0.11111109887436328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France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90000011.042534024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France</v>
      </c>
      <c r="CA48" s="61">
        <v>3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3000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France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2</v>
      </c>
      <c r="W50" s="123">
        <f t="shared" si="22"/>
        <v>2</v>
      </c>
      <c r="X50" s="123">
        <f t="shared" si="9"/>
        <v>1</v>
      </c>
      <c r="Y50" s="123">
        <f t="shared" si="10"/>
        <v>2</v>
      </c>
      <c r="Z50" s="123">
        <f t="shared" si="11"/>
        <v>2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11</v>
      </c>
      <c r="AJ50" s="123">
        <f>SUMIF($E$7:$E$78,$AE50,$G$7:$G$78) + SUMIF($H$7:$H$78,$AE50,$F$7:$F$78)</f>
        <v>4</v>
      </c>
      <c r="AL50" s="123">
        <f>AI50-AJ50</f>
        <v>7</v>
      </c>
      <c r="AM50" s="123">
        <f>AL50-AL54</f>
        <v>15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90000010.292604879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>
        <v>3</v>
      </c>
      <c r="BO50" s="25"/>
      <c r="BP50" s="112">
        <f>IF(OR(BM50="",BM51="",AND(BN50="",BN51&lt;&gt;""),AND(BN51="",BN50&lt;&gt;""),AND(BO50="",BO51&lt;&gt;""),AND(BO51="",BO50&lt;&gt;"")),"",BM50*1000+BN50*10+BO50)</f>
        <v>2030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11 - 4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8</v>
      </c>
      <c r="AL51" s="123">
        <f>AI51-AJ51</f>
        <v>-8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7.5896101588170144E-12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2</v>
      </c>
      <c r="BN51" s="64">
        <v>2</v>
      </c>
      <c r="BO51" s="27"/>
      <c r="BP51" s="113">
        <f>IF(BP50="","",BM51*1000+BN51*10+BO51)</f>
        <v>2020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1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9 - 4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Panama_draw</v>
      </c>
      <c r="T52" s="127" t="str">
        <f t="shared" si="20"/>
        <v>Croatia_draw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0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6</v>
      </c>
      <c r="AL52" s="123">
        <f>AI52-AJ52</f>
        <v>-4</v>
      </c>
      <c r="AM52" s="123">
        <f>AL52-AL54</f>
        <v>4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30000002.667377383</v>
      </c>
      <c r="AQ52" s="126">
        <f>VLOOKUP(AE52,db_fifarank,2,FALSE)</f>
        <v>1421.43</v>
      </c>
      <c r="AR52" s="125">
        <f>AP52/AP54</f>
        <v>0.3333333211463988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>
        <v>3</v>
      </c>
      <c r="BV52" s="25"/>
      <c r="BW52" s="116">
        <f>IF(OR(BT52="",BT53="",AND(BU52="",BU53&lt;&gt;""),AND(BU53="",BU52&lt;&gt;""),AND(BV52="",BV53&lt;&gt;""),AND(BV53="",BV52&lt;&gt;"")),"",BT52*1000+BU52*10+BV52)</f>
        <v>2030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5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2 - 6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9</v>
      </c>
      <c r="AJ53" s="123">
        <f>SUMIF($E$7:$E$78,$AE53,$G$7:$G$78) + SUMIF($H$7:$H$78,$AE53,$F$7:$F$78)</f>
        <v>4</v>
      </c>
      <c r="AL53" s="123">
        <f>AI53-AJ53</f>
        <v>5</v>
      </c>
      <c r="AM53" s="123">
        <f>AL53-AL54</f>
        <v>13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60000008.875836536</v>
      </c>
      <c r="AQ53" s="126">
        <f>VLOOKUP(AE53,db_fifarank,2,FALSE)</f>
        <v>1673.07</v>
      </c>
      <c r="AR53" s="125">
        <f>AP53/AP54</f>
        <v>0.66666668163814569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Croatia</v>
      </c>
      <c r="BT53" s="62">
        <v>2</v>
      </c>
      <c r="BU53" s="64">
        <v>2</v>
      </c>
      <c r="BV53" s="27"/>
      <c r="BW53" s="112">
        <f>IF(BW52="","",BT53*1000+BU53*10+BV53)</f>
        <v>2020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0 - 8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12</v>
      </c>
      <c r="AL54" s="123">
        <f>MIN(AL50:AL53)</f>
        <v>-8</v>
      </c>
      <c r="AM54" s="123">
        <f>MAX(AM50:AM53)+1</f>
        <v>16</v>
      </c>
      <c r="AN54" s="123">
        <f>MAX(AN50:AN53)+1</f>
        <v>10</v>
      </c>
      <c r="AO54" s="123">
        <f>MAX(AO50:AO53)+1</f>
        <v>10</v>
      </c>
      <c r="AP54" s="123">
        <f>MAX(AP50:AP53)+1</f>
        <v>90000011.292604879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Croatia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4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France</v>
      </c>
      <c r="CH55" s="61">
        <v>2</v>
      </c>
      <c r="CI55" s="63">
        <v>3</v>
      </c>
      <c r="CJ55" s="25">
        <v>3</v>
      </c>
      <c r="CK55" s="116">
        <f>IF(OR(CH55="",CH56="",AND(CI55="",CI56&lt;&gt;""),AND(CI56="",CI55&lt;&gt;""),AND(CJ55="",CJ56&lt;&gt;""),AND(CJ56="",CJ55&lt;&gt;"")),"",CH55*1000+CI55*10+CJ55)</f>
        <v>2033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2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0</v>
      </c>
      <c r="AH56" s="123">
        <f>COUNTIF($S$7:$T$78,"=" &amp; AE56 &amp; "_lose")</f>
        <v>1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13</v>
      </c>
      <c r="AN56" s="123">
        <f>AF56*3+AG56</f>
        <v>6</v>
      </c>
      <c r="AO56" s="123">
        <f>AN56/AN60*10+BA56</f>
        <v>6</v>
      </c>
      <c r="AP56" s="123">
        <f>AO56*10000000+BI56*100+AM56/AM60*10+AI56/AI60*1++IF(AQ56=0,ROW(),AQ56)/2000000</f>
        <v>60000010.186652943</v>
      </c>
      <c r="AQ56" s="126">
        <f>VLOOKUP(AE56,db_fifarank,2,FALSE)</f>
        <v>1877.32</v>
      </c>
      <c r="AR56" s="125">
        <f>AP56/AP60</f>
        <v>0.6666667030205542</v>
      </c>
      <c r="AS56" s="125" t="str">
        <f>IF(SUM(AF56:AH59)=12,J57,"1I")</f>
        <v>Norway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>
        <v>3</v>
      </c>
      <c r="CJ56" s="27">
        <v>4</v>
      </c>
      <c r="CK56" s="112">
        <f>IF(CK55="","",CH56*1000+CI56*10+CJ56)</f>
        <v>2034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Norway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8 - 3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7</v>
      </c>
      <c r="AL57" s="123">
        <f>AI57-AJ57</f>
        <v>-4</v>
      </c>
      <c r="AM57" s="123">
        <f>AL57-AL60</f>
        <v>3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30000002.443701636</v>
      </c>
      <c r="AQ57" s="126">
        <f>VLOOKUP(AE57,db_fifarank,2,FALSE)</f>
        <v>1688.99</v>
      </c>
      <c r="AR57" s="125">
        <f>AP57/AP60</f>
        <v>0.33333332207000455</v>
      </c>
      <c r="AS57" s="125" t="str">
        <f>IF(SUM(AF56:AH59)=12,J58,"2I")</f>
        <v>France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France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9 - 3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1.1191506487993459E-9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3 - 7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1</v>
      </c>
      <c r="AE59" s="124" t="str">
        <f>VLOOKUP("Norway",T,lang,FALSE)</f>
        <v>Norway</v>
      </c>
      <c r="AF59" s="123">
        <f>COUNTIF($S$7:$T$78,"=" &amp; AE59 &amp; "_win")</f>
        <v>3</v>
      </c>
      <c r="AG59" s="123">
        <f>COUNTIF($S$7:$T$78,"=" &amp; AE59 &amp; "_draw")</f>
        <v>0</v>
      </c>
      <c r="AH59" s="123">
        <f>COUNTIF($S$7:$T$78,"=" &amp; AE59 &amp; "_lose")</f>
        <v>0</v>
      </c>
      <c r="AI59" s="123">
        <f>SUMIF($E$7:$E$78,$AE59,$F$7:$F$78) + SUMIF($H$7:$H$78,$AE59,$G$7:$G$78)</f>
        <v>8</v>
      </c>
      <c r="AJ59" s="123">
        <f>SUMIF($E$7:$E$78,$AE59,$G$7:$G$78) + SUMIF($H$7:$H$78,$AE59,$F$7:$F$78)</f>
        <v>3</v>
      </c>
      <c r="AL59" s="123">
        <f>AI59-AJ59</f>
        <v>5</v>
      </c>
      <c r="AM59" s="123">
        <f>AL59-AL60</f>
        <v>12</v>
      </c>
      <c r="AN59" s="123">
        <f>AF59*3+AG59</f>
        <v>9</v>
      </c>
      <c r="AO59" s="123">
        <f>AN59/AN60*10+BA59</f>
        <v>9</v>
      </c>
      <c r="AP59" s="123">
        <f>AO59*10000000+BI59*100+AM59/AM60*10+AI59/AI60*1++IF(AQ59=0,ROW(),AQ59)/2000000</f>
        <v>90000009.372204036</v>
      </c>
      <c r="AQ59" s="126">
        <f>VLOOKUP(AE59,db_fifarank,2,FALSE)</f>
        <v>1550.94</v>
      </c>
      <c r="AR59" s="125">
        <f>AP59/AP60</f>
        <v>0.99999998888889019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-7</v>
      </c>
      <c r="AM60" s="123">
        <f>MAX(AM56:AM59)+1</f>
        <v>14</v>
      </c>
      <c r="AN60" s="123">
        <f>MAX(AN56:AN59)+1</f>
        <v>10</v>
      </c>
      <c r="AO60" s="123">
        <f>MAX(AO56:AO59)+1</f>
        <v>10</v>
      </c>
      <c r="AP60" s="123">
        <f>MAX(AP56:AP59)+1</f>
        <v>90000010.372204036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4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4000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2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2</v>
      </c>
      <c r="W61" s="123">
        <f t="shared" si="22"/>
        <v>2</v>
      </c>
      <c r="X61" s="123">
        <f t="shared" si="9"/>
        <v>1</v>
      </c>
      <c r="Y61" s="123">
        <f t="shared" si="10"/>
        <v>2</v>
      </c>
      <c r="Z61" s="123">
        <f t="shared" si="11"/>
        <v>2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90000010.067604095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3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6</v>
      </c>
      <c r="AL63" s="123">
        <f>AI63-AJ63</f>
        <v>-4</v>
      </c>
      <c r="AM63" s="123">
        <f>AL63-AL66</f>
        <v>0</v>
      </c>
      <c r="AN63" s="123">
        <f>AF63*3+AG63</f>
        <v>1</v>
      </c>
      <c r="AO63" s="123">
        <f>AN63/AN66*10+BA63</f>
        <v>1.9806451612903224</v>
      </c>
      <c r="AP63" s="123">
        <f>AO63*10000000+BI63*100+AM63/AM66*10+AI63/AI66*1++IF(AQ63=0,ROW(),AQ63)/2000000</f>
        <v>19806549.878201481</v>
      </c>
      <c r="AQ63" s="126">
        <f>VLOOKUP(AE63,db_fifarank,2,FALSE)</f>
        <v>1564.26</v>
      </c>
      <c r="AR63" s="125">
        <f>AP63/AP66</f>
        <v>0.22007274936137133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50.666666666666664</v>
      </c>
      <c r="BA63" s="126">
        <f>AZ63/AZ66</f>
        <v>0.98064516129032253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50.666666666666664</v>
      </c>
      <c r="BI63" s="126">
        <f>BH63/BH66</f>
        <v>0.98064516129032253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4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5 - 4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5</v>
      </c>
      <c r="AJ64" s="123">
        <f>SUMIF($E$7:$E$78,$AE64,$G$7:$G$78) + SUMIF($H$7:$H$78,$AE64,$F$7:$F$78)</f>
        <v>4</v>
      </c>
      <c r="AL64" s="123">
        <f>AI64-AJ64</f>
        <v>1</v>
      </c>
      <c r="AM64" s="123">
        <f>AL64-AL66</f>
        <v>5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60000004.667463392</v>
      </c>
      <c r="AQ64" s="126">
        <f>VLOOKUP(AE64,db_fifarank,2,FALSE)</f>
        <v>1593.45</v>
      </c>
      <c r="AR64" s="125">
        <f>AP64/AP66</f>
        <v>0.66666663654512215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3</v>
      </c>
      <c r="CB64" s="63">
        <v>4</v>
      </c>
      <c r="CC64" s="25">
        <v>5</v>
      </c>
      <c r="CD64" s="116">
        <f>IF(OR(CA64="",CA65="",AND(CB64="",CB65&lt;&gt;""),AND(CB65="",CB64&lt;&gt;""),AND(CC64="",CC65&lt;&gt;""),AND(CC65="",CC64&lt;&gt;"")),"",CA64*1000+CB64*10+CC64)</f>
        <v>3045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3</v>
      </c>
      <c r="G65" s="20">
        <v>1</v>
      </c>
      <c r="H65" s="80" t="str">
        <f>AE26</f>
        <v>United States</v>
      </c>
      <c r="I65" s="69"/>
      <c r="J65" s="33" t="str">
        <f>VLOOKUP(3,AD62:AN65,2,FALSE)</f>
        <v>Jordan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3 - 7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3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7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1.9806451612903224</v>
      </c>
      <c r="AP65" s="123">
        <f>AO65*10000000+BI65*100+AM65/AM66*10+AI65/AI66*1++IF(AQ65=0,ROW(),AQ65)/2000000</f>
        <v>19806549.978115078</v>
      </c>
      <c r="AQ65" s="126">
        <f>VLOOKUP(AE65,db_fifarank,2,FALSE)</f>
        <v>1391.45</v>
      </c>
      <c r="AR65" s="125">
        <f>AP65/AP66</f>
        <v>0.22007275047152228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2</v>
      </c>
      <c r="AW65" s="126" cm="1">
        <f t="array" ref="AW65">SUMPRODUCT(($E$7:$E$78=AE65)*($U$7:$U$78)*($G$7:$G$78))+SUMPRODUCT(($H$7:$H$78=AE65)*($U$7:$U$78)*($F$7:$F$78))</f>
        <v>2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50.666666666666664</v>
      </c>
      <c r="BA65" s="126">
        <f>AZ65/AZ66</f>
        <v>0.98064516129032253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2</v>
      </c>
      <c r="BE65" s="126" cm="1">
        <f t="array" ref="BE65">SUMPRODUCT(($E$7:$E$78=AE65)*($X$7:$X$78)*($G$7:$G$78))+SUMPRODUCT(($H$7:$H$78=AE65)*($X$7:$X$78)*($F$7:$F$78))</f>
        <v>2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50.666666666666664</v>
      </c>
      <c r="BI65" s="126">
        <f>BH65/BH66</f>
        <v>0.98064516129032253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3</v>
      </c>
      <c r="CB65" s="64">
        <v>4</v>
      </c>
      <c r="CC65" s="27">
        <v>4</v>
      </c>
      <c r="CD65" s="112">
        <f>IF(CD64="","",CA65*1000+CB65*10+CC65)</f>
        <v>3044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2 - 6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10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90000011.067604095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3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Norway_win</v>
      </c>
      <c r="T67" s="127" t="str">
        <f t="shared" si="20"/>
        <v>France_lose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1</v>
      </c>
      <c r="BK67" s="142"/>
      <c r="BL67" s="26" t="str">
        <f>IF(group_round_completed,VLOOKUP('3rd places'!E3,AK80:AS91,9,FALSE),"3rd Group E/F/G/I/J")</f>
        <v>Iran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12</v>
      </c>
      <c r="AJ68" s="123">
        <f>SUMIF($E$7:$E$78,$AE68,$G$7:$G$78) + SUMIF($H$7:$H$78,$AE68,$F$7:$F$78)</f>
        <v>1</v>
      </c>
      <c r="AL68" s="123">
        <f>AI68-AJ68</f>
        <v>11</v>
      </c>
      <c r="AM68" s="123">
        <f>AL68-AL72</f>
        <v>18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90000010.397643045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Norway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2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12 - 1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8</v>
      </c>
      <c r="AL69" s="123">
        <f>AI69-AJ69</f>
        <v>-6</v>
      </c>
      <c r="AM69" s="123">
        <f>AL69-AL72</f>
        <v>1</v>
      </c>
      <c r="AN69" s="123">
        <f>AF69*3+AG69</f>
        <v>1</v>
      </c>
      <c r="AO69" s="123">
        <f>AN69/AN72*10+BA69</f>
        <v>1.9806451612903224</v>
      </c>
      <c r="AP69" s="123">
        <f>AO69*10000000+BI69*100+AM69/AM72*10+AI69/AI72*1++IF(AQ69=0,ROW(),AQ69)/2000000</f>
        <v>19806550.358320471</v>
      </c>
      <c r="AQ69" s="126">
        <f>VLOOKUP(AE69,db_fifarank,2,FALSE)</f>
        <v>1478.35</v>
      </c>
      <c r="AR69" s="125">
        <f>AP69/AP72</f>
        <v>0.22007275388899752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50.666666666666664</v>
      </c>
      <c r="BA69" s="126">
        <f>AZ69/AZ72</f>
        <v>0.98064516129032253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50.666666666666664</v>
      </c>
      <c r="BI69" s="126">
        <f>BH69/BH72</f>
        <v>0.98064516129032253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9</v>
      </c>
      <c r="AL70" s="123">
        <f>AI70-AJ70</f>
        <v>-7</v>
      </c>
      <c r="AM70" s="123">
        <f>AL70-AL72</f>
        <v>0</v>
      </c>
      <c r="AN70" s="123">
        <f>AF70*3+AG70</f>
        <v>1</v>
      </c>
      <c r="AO70" s="123">
        <f>AN70/AN72*10+BA70</f>
        <v>1.9806451612903224</v>
      </c>
      <c r="AP70" s="123">
        <f>AO70*10000000+BI70*100+AM70/AM72*10+AI70/AI72*1++IF(AQ70=0,ROW(),AQ70)/2000000</f>
        <v>19806549.831998177</v>
      </c>
      <c r="AQ70" s="126">
        <f>VLOOKUP(AE70,db_fifarank,2,FALSE)</f>
        <v>1465.34</v>
      </c>
      <c r="AR70" s="125">
        <f>AP70/AP72</f>
        <v>0.22007274804097279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4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2 - 8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9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60000005.12230403</v>
      </c>
      <c r="AQ71" s="126">
        <f>VLOOKUP(AE71,db_fifarank,2,FALSE)</f>
        <v>1693.09</v>
      </c>
      <c r="AR71" s="125">
        <f>AP71/AP72</f>
        <v>0.6666666391541739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3</v>
      </c>
      <c r="G72" s="20">
        <v>4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2 - 9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13</v>
      </c>
      <c r="AL72" s="123">
        <f>MIN(AL68:AL71)</f>
        <v>-7</v>
      </c>
      <c r="AM72" s="123">
        <f>MAX(AM68:AM71)+1</f>
        <v>19</v>
      </c>
      <c r="AN72" s="123">
        <f>MAX(AN68:AN71)+1</f>
        <v>10</v>
      </c>
      <c r="AO72" s="123">
        <f>MAX(AO68:AO71)+1</f>
        <v>10</v>
      </c>
      <c r="AP72" s="123">
        <f>MAX(AP68:AP71)+1</f>
        <v>90000011.397643045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2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Panama_draw</v>
      </c>
      <c r="T73" s="127" t="str">
        <f t="shared" si="20"/>
        <v>England_draw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0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1</v>
      </c>
      <c r="AG74" s="123">
        <f>COUNTIF($S$7:$T$78,"=" &amp; AE74 &amp; "_draw")</f>
        <v>1</v>
      </c>
      <c r="AH74" s="123">
        <f>COUNTIF($S$7:$T$78,"=" &amp; AE74 &amp; "_lose")</f>
        <v>1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6</v>
      </c>
      <c r="AL74" s="123">
        <f>AI74-AJ74</f>
        <v>0</v>
      </c>
      <c r="AM74" s="123">
        <f>AL74-AL78</f>
        <v>3</v>
      </c>
      <c r="AN74" s="123">
        <f>AF74*3+AG74</f>
        <v>4</v>
      </c>
      <c r="AO74" s="123">
        <f>AN74/AN78*10+BA74</f>
        <v>5</v>
      </c>
      <c r="AP74" s="123">
        <f>AO74*10000000+BI74*100+AM74/AM78*10+AI74/AI78*1++IF(AQ74=0,ROW(),AQ74)/2000000</f>
        <v>50000005.143770128</v>
      </c>
      <c r="AQ74" s="126">
        <f>VLOOKUP(AE74,db_fifarank,2,FALSE)</f>
        <v>1825.97</v>
      </c>
      <c r="AR74" s="125">
        <f>AP74/AP78</f>
        <v>0.57142856210395399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6</v>
      </c>
      <c r="AN75" s="123">
        <f>AF75*3+AG75</f>
        <v>7</v>
      </c>
      <c r="AO75" s="123">
        <f>AN75/AN78*10+BA75</f>
        <v>8.75</v>
      </c>
      <c r="AP75" s="123">
        <f>AO75*10000000+BI75*100+AM75/AM78*10+AI75/AI78*1++IF(AQ75=0,ROW(),AQ75)/2000000</f>
        <v>87500009.429429948</v>
      </c>
      <c r="AQ75" s="126">
        <f>VLOOKUP(AE75,db_fifarank,2,FALSE)</f>
        <v>1717.07</v>
      </c>
      <c r="AR75" s="125">
        <f>AP75/AP78</f>
        <v>0.99999998857142991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6 - 6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6</v>
      </c>
      <c r="AL76" s="123">
        <f>AI76-AJ76</f>
        <v>-3</v>
      </c>
      <c r="AM76" s="123">
        <f>AL76-AL78</f>
        <v>0</v>
      </c>
      <c r="AN76" s="123">
        <f>AF76*3+AG76</f>
        <v>1</v>
      </c>
      <c r="AO76" s="123">
        <f>AN76/AN78*10+BA76</f>
        <v>1.25</v>
      </c>
      <c r="AP76" s="123">
        <f>AO76*10000000+BI76*100+AM76/AM78*10+AI76/AI78*1++IF(AQ76=0,ROW(),AQ76)/2000000</f>
        <v>12500000.429244583</v>
      </c>
      <c r="AQ76" s="126">
        <f>VLOOKUP(AE76,db_fifarank,2,FALSE)</f>
        <v>1346.31</v>
      </c>
      <c r="AR76" s="125">
        <f>AP76/AP78</f>
        <v>0.14285713073515596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3</v>
      </c>
      <c r="N77" s="23">
        <f>VLOOKUP(3,AD74:AN77,5,FALSE)</f>
        <v>0</v>
      </c>
      <c r="O77" s="23" t="str">
        <f>VLOOKUP(3,AD74:AN77,6,FALSE) &amp; " - " &amp; VLOOKUP(3,AD74:AN77,7,FALSE)</f>
        <v>5 - 5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3</v>
      </c>
      <c r="AH77" s="123">
        <f>COUNTIF($S$7:$T$78,"=" &amp; AE77 &amp; "_lose")</f>
        <v>0</v>
      </c>
      <c r="AI77" s="123">
        <f>SUMIF($E$7:$E$78,$AE77,$F$7:$F$78) + SUMIF($H$7:$H$78,$AE77,$G$7:$G$78)</f>
        <v>5</v>
      </c>
      <c r="AJ77" s="123">
        <f>SUMIF($E$7:$E$78,$AE77,$G$7:$G$78) + SUMIF($H$7:$H$78,$AE77,$F$7:$F$78)</f>
        <v>5</v>
      </c>
      <c r="AL77" s="123">
        <f>AI77-AJ77</f>
        <v>0</v>
      </c>
      <c r="AM77" s="123">
        <f>AL77-AL78</f>
        <v>3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37500005.000770323</v>
      </c>
      <c r="AQ77" s="126">
        <f>VLOOKUP(AE77,db_fifarank,2,FALSE)</f>
        <v>1540.64</v>
      </c>
      <c r="AR77" s="125">
        <f>AP77/AP78</f>
        <v>0.4285714346401665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3 - 6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7</v>
      </c>
      <c r="AL78" s="123">
        <f>MIN(AL74:AL77)</f>
        <v>-3</v>
      </c>
      <c r="AM78" s="123">
        <f>MAX(AM74:AM77)+1</f>
        <v>7</v>
      </c>
      <c r="AN78" s="123">
        <f>MAX(AN74:AN77)+1</f>
        <v>8</v>
      </c>
      <c r="AO78" s="123">
        <f>MAX(AO74:AO77)+1</f>
        <v>9.75</v>
      </c>
      <c r="AP78" s="123">
        <f>MAX(AP74:AP77)+1</f>
        <v>87500010.429429948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9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7</v>
      </c>
      <c r="AK80" s="123" t="s">
        <v>3180</v>
      </c>
      <c r="AL80" s="123">
        <f>VLOOKUP($AE80,$AE$8:$AQ$78,8,FALSE)</f>
        <v>-3</v>
      </c>
      <c r="AM80" s="123">
        <f>AL80-$AL$92</f>
        <v>3</v>
      </c>
      <c r="AN80" s="123">
        <f>VLOOKUP($AE80,$AE$8:$AQ$78,10,FALSE)</f>
        <v>1</v>
      </c>
      <c r="AP80" s="123">
        <f>AN80/AN92*10000+AM80/AM92*1000+AI80/AI92*100+IF(AQ80=0,ROW(),AQ80)/2000000</f>
        <v>2485.7150364042859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6 - 6</v>
      </c>
      <c r="P81" s="98">
        <f>L81*3+M81</f>
        <v>4</v>
      </c>
      <c r="AD81" s="123">
        <f t="shared" ref="AD81:AD91" si="38">COUNTIF($AP$80:$AP$91,CONCATENATE("&gt;=",AP81))</f>
        <v>5</v>
      </c>
      <c r="AE81" s="124" t="str">
        <f>J17</f>
        <v>Canada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4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6600.0007782399998</v>
      </c>
      <c r="AQ81" s="126">
        <f t="shared" si="37"/>
        <v>1556.48</v>
      </c>
      <c r="AR81" s="125" t="str">
        <f>AR80&amp;IF(AD81&lt;=8,RIGHT(AK81,1),"")</f>
        <v>B</v>
      </c>
      <c r="AS81" s="129" t="str">
        <f t="shared" ref="AS81:AS91" si="46">IF(AD81&lt;=8,AE81,"")</f>
        <v>Canada</v>
      </c>
      <c r="AT81" s="130" t="str">
        <f>"Ⓑ "&amp;AE81</f>
        <v>Ⓑ Canada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Ⓛ Panama</v>
      </c>
      <c r="K82" s="100">
        <f t="shared" ref="K82:K92" si="47">L82+M82+N82</f>
        <v>3</v>
      </c>
      <c r="L82" s="100">
        <f>VLOOKUP(2,$AD$80:$AN$91,3,FALSE)</f>
        <v>0</v>
      </c>
      <c r="M82" s="100">
        <f>VLOOKUP(2,$AD$80:$AN$91,4,FALSE)</f>
        <v>3</v>
      </c>
      <c r="N82" s="100">
        <f>VLOOKUP(2,$AD$80:$AN$91,5,FALSE)</f>
        <v>0</v>
      </c>
      <c r="O82" s="100" t="str">
        <f>VLOOKUP(2,$AD$80:$AN$91,6,FALSE) &amp; " - " &amp; VLOOKUP(2,$AD$80:$AN$91,7,FALSE)</f>
        <v>5 - 5</v>
      </c>
      <c r="P82" s="101">
        <f t="shared" ref="P82:P92" si="48">L82*3+M82</f>
        <v>3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6</v>
      </c>
      <c r="AJ82" s="123">
        <f t="shared" si="42"/>
        <v>6</v>
      </c>
      <c r="AK82" s="123" t="s">
        <v>3182</v>
      </c>
      <c r="AL82" s="123">
        <f t="shared" si="43"/>
        <v>0</v>
      </c>
      <c r="AM82" s="123">
        <f t="shared" si="44"/>
        <v>6</v>
      </c>
      <c r="AN82" s="123">
        <f t="shared" si="45"/>
        <v>4</v>
      </c>
      <c r="AP82" s="123">
        <f>AN82/AN92*10000+AM82/AM92*1000+AI82/AI92*100+IF(AQ82=0,ROW(),AQ82)/2000000</f>
        <v>8942.8578920321434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0</v>
      </c>
      <c r="M83" s="100">
        <f>VLOOKUP(3,$AD$80:$AN$91,4,FALSE)</f>
        <v>3</v>
      </c>
      <c r="N83" s="100">
        <f>VLOOKUP(3,$AD$80:$AN$91,5,FALSE)</f>
        <v>0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3</v>
      </c>
      <c r="AE83" s="124" t="str">
        <f>J29</f>
        <v>Paraguay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6914.2864660357136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Ⓕ Japan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5 - 6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7</v>
      </c>
      <c r="AK84" s="123" t="s">
        <v>3185</v>
      </c>
      <c r="AL84" s="123">
        <f t="shared" si="43"/>
        <v>-5</v>
      </c>
      <c r="AM84" s="123">
        <f t="shared" si="44"/>
        <v>1</v>
      </c>
      <c r="AN84" s="123">
        <f t="shared" si="45"/>
        <v>1</v>
      </c>
      <c r="AP84" s="123">
        <f>AN84/AN92*10000+AM84/AM92*1000+AI84/AI92*100+IF(AQ84=0,ROW(),AQ84)/2000000</f>
        <v>2171.429337918571</v>
      </c>
      <c r="AQ84" s="126">
        <f t="shared" si="37"/>
        <v>1532.98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Ⓑ Canada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Norway</v>
      </c>
      <c r="T85" s="127" t="str" cm="1">
        <f t="array" ref="T85">IF(OR(S85="",S85="draw"),INDEX(T,87,lang),S85)</f>
        <v>Norway</v>
      </c>
      <c r="AD85" s="123">
        <f t="shared" si="38"/>
        <v>4</v>
      </c>
      <c r="AE85" s="124" t="str">
        <f>J41</f>
        <v>Japan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5</v>
      </c>
      <c r="AJ85" s="123">
        <f t="shared" si="42"/>
        <v>6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6785.7151159292862</v>
      </c>
      <c r="AQ85" s="126">
        <f t="shared" si="37"/>
        <v>1660.43</v>
      </c>
      <c r="AR85" s="125" t="str">
        <f t="shared" si="50"/>
        <v>BCDF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3 - 7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8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3</v>
      </c>
      <c r="AJ86" s="123">
        <f t="shared" si="42"/>
        <v>5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4614.2865219357145</v>
      </c>
      <c r="AQ86" s="126">
        <f t="shared" si="37"/>
        <v>1615.3</v>
      </c>
      <c r="AR86" s="125" t="str">
        <f t="shared" si="50"/>
        <v>BCDFG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6</v>
      </c>
      <c r="AK87" s="123" t="s">
        <v>3188</v>
      </c>
      <c r="AL87" s="123">
        <f t="shared" si="43"/>
        <v>-4</v>
      </c>
      <c r="AM87" s="123">
        <f t="shared" si="44"/>
        <v>2</v>
      </c>
      <c r="AN87" s="123">
        <f t="shared" si="45"/>
        <v>3</v>
      </c>
      <c r="AP87" s="123">
        <f>AN87/AN92*10000+AM87/AM92*1000+AI87/AI92*100+IF(AQ87=0,ROW(),AQ87)/2000000</f>
        <v>6314.2864250007142</v>
      </c>
      <c r="AQ87" s="126">
        <f t="shared" si="37"/>
        <v>1421.43</v>
      </c>
      <c r="AR87" s="125" t="str">
        <f t="shared" si="50"/>
        <v>BCDFGH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Ⓖ Iran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3 - 5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7</v>
      </c>
      <c r="AK88" s="123" t="s">
        <v>3189</v>
      </c>
      <c r="AL88" s="123">
        <f t="shared" si="43"/>
        <v>-4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6328.5722730664284</v>
      </c>
      <c r="AQ88" s="126">
        <f t="shared" si="37"/>
        <v>1688.99</v>
      </c>
      <c r="AR88" s="125" t="str">
        <f t="shared" si="50"/>
        <v>BCDFGHI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Ⓐ Czech Republic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4 - 7</v>
      </c>
      <c r="P89" s="104">
        <f t="shared" si="48"/>
        <v>1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Jordan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7</v>
      </c>
      <c r="AK89" s="123" t="s">
        <v>3190</v>
      </c>
      <c r="AL89" s="123">
        <f t="shared" si="43"/>
        <v>-4</v>
      </c>
      <c r="AM89" s="123">
        <f t="shared" si="44"/>
        <v>2</v>
      </c>
      <c r="AN89" s="123">
        <f t="shared" si="45"/>
        <v>1</v>
      </c>
      <c r="AP89" s="123">
        <f>AN89/AN92*10000+AM89/AM92*1000+AI89/AI92*100+IF(AQ89=0,ROW(),AQ89)/2000000</f>
        <v>2328.5721242964282</v>
      </c>
      <c r="AQ89" s="126">
        <f t="shared" si="37"/>
        <v>1391.45</v>
      </c>
      <c r="AR89" s="125" t="str">
        <f t="shared" si="50"/>
        <v>BCDFGHI</v>
      </c>
      <c r="AS89" s="129" t="str">
        <f t="shared" si="46"/>
        <v/>
      </c>
      <c r="AT89" s="130" t="str">
        <f>"Ⓙ "&amp;AE89</f>
        <v>Ⓙ Jordan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Jordan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3 - 7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8</v>
      </c>
      <c r="AK90" s="123" t="s">
        <v>3191</v>
      </c>
      <c r="AL90" s="123">
        <f t="shared" si="43"/>
        <v>-6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2028.5721677464287</v>
      </c>
      <c r="AQ90" s="126">
        <f t="shared" si="37"/>
        <v>1478.35</v>
      </c>
      <c r="AR90" s="125" t="str">
        <f t="shared" si="50"/>
        <v>BCDFGHI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2 - 7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2</v>
      </c>
      <c r="AE91" s="124" t="str">
        <f>J77</f>
        <v>Panama</v>
      </c>
      <c r="AF91" s="123">
        <f t="shared" si="39"/>
        <v>0</v>
      </c>
      <c r="AG91" s="123">
        <f t="shared" si="49"/>
        <v>3</v>
      </c>
      <c r="AH91" s="123">
        <f>VLOOKUP($AE91,$AE$8:$AQ$78,4,FALSE)</f>
        <v>0</v>
      </c>
      <c r="AI91" s="123">
        <f>VLOOKUP($AE91,$AE$8:$AQ$78,5,FALSE)</f>
        <v>5</v>
      </c>
      <c r="AJ91" s="123">
        <f>VLOOKUP($AE91,$AE$8:$AQ$78,6,FALSE)</f>
        <v>5</v>
      </c>
      <c r="AK91" s="123" t="s">
        <v>3192</v>
      </c>
      <c r="AL91" s="123">
        <f>VLOOKUP($AE91,$AE$8:$AQ$78,8,FALSE)</f>
        <v>0</v>
      </c>
      <c r="AM91" s="123">
        <f t="shared" si="44"/>
        <v>6</v>
      </c>
      <c r="AN91" s="123">
        <f>VLOOKUP($AE91,$AE$8:$AQ$78,10,FALSE)</f>
        <v>3</v>
      </c>
      <c r="AP91" s="123">
        <f>AN91/AN92*10000+AM91/AM92*1000+AI91/AI92*100+IF(AQ91=0,ROW(),AQ91)/2000000</f>
        <v>6928.5721988914283</v>
      </c>
      <c r="AQ91" s="126">
        <f t="shared" si="37"/>
        <v>1540.64</v>
      </c>
      <c r="AR91" s="125" t="str">
        <f t="shared" si="50"/>
        <v>BCDFGHIL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2 - 8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7</v>
      </c>
      <c r="AJ92" s="123">
        <f>MAX(AJ80:AJ91)+1</f>
        <v>9</v>
      </c>
      <c r="AL92" s="123">
        <f>MIN(AL80:AL91)</f>
        <v>-6</v>
      </c>
      <c r="AM92" s="123">
        <f>MAX(AM80:AM91)+1</f>
        <v>7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Norway</v>
      </c>
      <c r="T95" s="127" t="str" cm="1">
        <f t="array" ref="T95">IF(OR(S95="",S95="draw"),INDEX(T,94,lang),S95)</f>
        <v>Norway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Norway</v>
      </c>
      <c r="T102" s="127" t="str" cm="1">
        <f t="array" ref="T102">IF(OR(S102="",S102="draw"),INDEX(T,98,lang),S102)</f>
        <v>Norway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Norway</v>
      </c>
      <c r="T111" s="127" t="str">
        <f>S111</f>
        <v>Norway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128</v>
      </c>
      <c r="C3" s="121" t="str">
        <f>'2026 World Cup'!AR91</f>
        <v>BCDFGHIL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8D09A4-9D0A-4C79-A71D-1EF5EC295A67}"/>
</file>

<file path=customXml/itemProps2.xml><?xml version="1.0" encoding="utf-8"?>
<ds:datastoreItem xmlns:ds="http://schemas.openxmlformats.org/officeDocument/2006/customXml" ds:itemID="{F3A37C5B-D069-47D9-BBE6-76EBC94E6BA3}"/>
</file>

<file path=customXml/itemProps3.xml><?xml version="1.0" encoding="utf-8"?>
<ds:datastoreItem xmlns:ds="http://schemas.openxmlformats.org/officeDocument/2006/customXml" ds:itemID="{089A9850-946C-46FD-B336-C513701056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2026-06-12T12:08:50Z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