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Deltakarar/"/>
    </mc:Choice>
  </mc:AlternateContent>
  <xr:revisionPtr revIDLastSave="0" documentId="8_{F9BD68D1-6AA6-480C-8ED9-9C3AC5C9F816}" xr6:coauthVersionLast="47" xr6:coauthVersionMax="47" xr10:uidLastSave="{00000000-0000-0000-0000-000000000000}"/>
  <bookViews>
    <workbookView xWindow="780" yWindow="780" windowWidth="35385" windowHeight="2068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18" i="3"/>
  <c r="T41" i="3"/>
  <c r="S40" i="3"/>
  <c r="S62" i="3"/>
  <c r="T61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/>
  <c r="AP20" i="3" s="1"/>
  <c r="BI26" i="3" l="1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0" i="3"/>
  <c r="AR11" i="3"/>
  <c r="AR70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34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M69" i="3" l="1"/>
  <c r="L69" i="3"/>
  <c r="J69" i="3"/>
  <c r="AS68" i="3" s="1"/>
  <c r="BL70" i="3" s="1"/>
  <c r="O69" i="3"/>
  <c r="N69" i="3"/>
  <c r="J33" i="3"/>
  <c r="AS32" i="3" s="1"/>
  <c r="BL10" i="3" s="1"/>
  <c r="J72" i="3"/>
  <c r="N72" i="3"/>
  <c r="L72" i="3"/>
  <c r="M72" i="3"/>
  <c r="N71" i="3"/>
  <c r="M71" i="3"/>
  <c r="L71" i="3"/>
  <c r="O70" i="3"/>
  <c r="N70" i="3"/>
  <c r="M70" i="3"/>
  <c r="L70" i="3"/>
  <c r="O72" i="3"/>
  <c r="O71" i="3"/>
  <c r="L36" i="3"/>
  <c r="N35" i="3"/>
  <c r="O36" i="3"/>
  <c r="N36" i="3"/>
  <c r="J70" i="3"/>
  <c r="AS69" i="3" s="1"/>
  <c r="BL26" i="3" s="1"/>
  <c r="J71" i="3"/>
  <c r="AE90" i="3" s="1"/>
  <c r="AQ90" i="3" s="1"/>
  <c r="M35" i="3"/>
  <c r="J36" i="3"/>
  <c r="O34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S86" i="3"/>
  <c r="T86" i="3" s="1" a="1"/>
  <c r="T86" i="3" s="1"/>
  <c r="BS28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P72" i="3"/>
  <c r="BS61" i="3" l="1"/>
  <c r="K72" i="3"/>
  <c r="P69" i="3"/>
  <c r="P71" i="3"/>
  <c r="K71" i="3"/>
  <c r="K69" i="3"/>
  <c r="P70" i="3"/>
  <c r="K70" i="3"/>
  <c r="P35" i="3"/>
  <c r="AF90" i="3"/>
  <c r="K36" i="3"/>
  <c r="AG90" i="3"/>
  <c r="AN90" i="3"/>
  <c r="AI90" i="3"/>
  <c r="AH90" i="3"/>
  <c r="AT90" i="3"/>
  <c r="AL90" i="3"/>
  <c r="AJ90" i="3"/>
  <c r="P34" i="3"/>
  <c r="P33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9" i="3"/>
  <c r="BZ65" i="3" s="1"/>
  <c r="CG56" i="3" s="1"/>
  <c r="CN38" i="3" s="1"/>
  <c r="BS68" i="3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<sst xmlns="http://schemas.openxmlformats.org/spreadsheetml/2006/main" count="9786" uniqueCount="3698">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</sst>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9" zoomScale="85" zoomScaleNormal="85" workbookViewId="0">
      <selection activeCell="CO50" sqref="CO50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0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1</v>
      </c>
      <c r="V8" s="123">
        <f t="shared" si="3"/>
        <v>0</v>
      </c>
      <c r="W8" s="123">
        <f t="shared" si="4"/>
        <v>2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8.7578482668410729</v>
      </c>
      <c r="AP8" s="123">
        <f>AO8*10000000+BI8*100+AM8/AM12*10+AI8/AI12*1++IF(AQ8=0,ROW(),AQ8)/2000000</f>
        <v>87578491.502584577</v>
      </c>
      <c r="AQ8" s="126">
        <f>VLOOKUP(AE8,db_fifarank,2,FALSE)</f>
        <v>1681.03</v>
      </c>
      <c r="AR8" s="125">
        <f>AP8/AP12</f>
        <v>0.9999999885816715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2</v>
      </c>
      <c r="AZ8" s="126">
        <f>AT8/AT12*1000+AU8/AU12*100+AY8/AY12*10+AV8/AV12</f>
        <v>4</v>
      </c>
      <c r="BA8" s="126">
        <f>AZ8/AZ12</f>
        <v>7.8482668410725966E-3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4</v>
      </c>
      <c r="AJ9" s="123">
        <f>SUMIF($E$7:$E$78,$AE9,$G$7:$G$78) + SUMIF($H$7:$H$78,$AE9,$F$7:$F$78)</f>
        <v>6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1.2578482668410726</v>
      </c>
      <c r="AP9" s="123">
        <f>AO9*10000000+BI9*100+AM9/AM12*10+AI9/AI12*1++IF(AQ9=0,ROW(),AQ9)/2000000</f>
        <v>12578483.335792257</v>
      </c>
      <c r="AQ9" s="126">
        <f>VLOOKUP(AE9,db_fifarank,2,FALSE)</f>
        <v>1429.73</v>
      </c>
      <c r="AR9" s="125">
        <f>AP9/AP12</f>
        <v>0.14362525520088218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2</v>
      </c>
      <c r="AZ9" s="126">
        <f>AT9/AT12*1000+AU9/AU12*100+AY9/AY12*10+AV9/AV12</f>
        <v>4</v>
      </c>
      <c r="BA9" s="126">
        <f>AZ9/AZ12</f>
        <v>7.8482668410725966E-3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5</v>
      </c>
      <c r="AL10" s="123">
        <f>AI10-AJ10</f>
        <v>-1</v>
      </c>
      <c r="AM10" s="123">
        <f>AL10-AL12</f>
        <v>1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50000002.667460993</v>
      </c>
      <c r="AQ10" s="126">
        <f>VLOOKUP(AE10,db_fifarank,2,FALSE)</f>
        <v>1588.66</v>
      </c>
      <c r="AR10" s="125">
        <f>AP10/AP12</f>
        <v>0.57091645721106032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-2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4 - 5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3</v>
      </c>
      <c r="AN11" s="123">
        <f>AF11*3+AG11</f>
        <v>4</v>
      </c>
      <c r="AO11" s="123">
        <f>AN11/AN12*10+BA11</f>
        <v>5.9980379332897318</v>
      </c>
      <c r="AP11" s="123">
        <f>AO11*10000000+BI11*100+AM11/AM12*10+AI11/AI12*1++IF(AQ11=0,ROW(),AQ11)/2000000</f>
        <v>59980386.000314675</v>
      </c>
      <c r="AQ11" s="126">
        <f>VLOOKUP(AE11,db_fifarank,2,FALSE)</f>
        <v>1501.38</v>
      </c>
      <c r="AR11" s="125">
        <f>AP11/AP12</f>
        <v>0.68487575301144354</v>
      </c>
      <c r="AT11" s="126" cm="1">
        <f t="array" ref="AT11">SUMPRODUCT(($S$7:$S$78=AE11&amp;"_win")*($U$7:$U$78))+SUMPRODUCT(($T$7:$T$78=AE11&amp;"_win")*($U$7:$U$78))</f>
        <v>1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2</v>
      </c>
      <c r="AY11" s="126">
        <f>AX11-MIN(AX8:AX11)</f>
        <v>4</v>
      </c>
      <c r="AZ11" s="126">
        <f>AT11/AT12*1000+AU11/AU12*100+AY11/AY12*10+AV11/AV12</f>
        <v>508.66666666666669</v>
      </c>
      <c r="BA11" s="126">
        <f>AZ11/AZ12</f>
        <v>0.99803793328973189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Korea Republic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4 - 6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9.7578482668410729</v>
      </c>
      <c r="AP12" s="123">
        <f>MAX(AP8:AP11)+1</f>
        <v>87578492.502584577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5</v>
      </c>
      <c r="AZ12" s="126">
        <f>MAX(AZ8:AZ11)+1</f>
        <v>509.66666666666669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60000007.078700326</v>
      </c>
      <c r="AQ14" s="126">
        <f>VLOOKUP(AE14,db_fifarank,2,FALSE)</f>
        <v>1556.48</v>
      </c>
      <c r="AR14" s="125">
        <f>AP14/AP18</f>
        <v>0.66666666421610277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0</v>
      </c>
      <c r="W15" s="123">
        <f t="shared" si="4"/>
        <v>0</v>
      </c>
      <c r="X15" s="123">
        <f t="shared" si="9"/>
        <v>1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3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30000003.013679933</v>
      </c>
      <c r="AQ15" s="126">
        <f>VLOOKUP(AE15,db_fifarank,2,FALSE)</f>
        <v>1385.84</v>
      </c>
      <c r="AR15" s="125">
        <f>AP15/AP18</f>
        <v>0.3333333262672718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Scotland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8.0831101277669361E-12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Germany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90000009.948876649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90000010.948876649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3</v>
      </c>
      <c r="AL20" s="123">
        <f>AI20-AJ20</f>
        <v>5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90000010.120538712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8 - 3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60000007.590621516</v>
      </c>
      <c r="AQ21" s="126">
        <f>VLOOKUP(AE21,db_fifarank,2,FALSE)</f>
        <v>1755.87</v>
      </c>
      <c r="AR21" s="125">
        <f>AP21/AP24</f>
        <v>0.66666666863254465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9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0.22286807722222221</v>
      </c>
      <c r="AQ22" s="126">
        <f>VLOOKUP(AE22,db_fifarank,2,FALSE)</f>
        <v>1291.71</v>
      </c>
      <c r="AR22" s="125">
        <f>AP22/AP24</f>
        <v>2.4763116631589168E-9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3</v>
      </c>
      <c r="BN22" s="63">
        <v>3</v>
      </c>
      <c r="BO22" s="25">
        <v>1</v>
      </c>
      <c r="BP22" s="116">
        <f>IF(OR(BM22="",BM23="",AND(BN22="",BN23&lt;&gt;""),AND(BN23="",BN22&lt;&gt;""),AND(BO22="",BO23&lt;&gt;""),AND(BO23="",BO22&lt;&gt;"")),"",BM22*1000+BN22*10+BO22)</f>
        <v>3031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1</v>
      </c>
      <c r="V23" s="123">
        <f t="shared" si="3"/>
        <v>3</v>
      </c>
      <c r="W23" s="123">
        <f t="shared" si="4"/>
        <v>1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30000005.940920115</v>
      </c>
      <c r="AQ23" s="126">
        <f>VLOOKUP(AE23,db_fifarank,2,FALSE)</f>
        <v>1498.35</v>
      </c>
      <c r="AR23" s="125">
        <f>AP23/AP24</f>
        <v>0.33333335815637333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3</v>
      </c>
      <c r="BN23" s="64">
        <v>3</v>
      </c>
      <c r="BO23" s="27">
        <v>0</v>
      </c>
      <c r="BP23" s="112">
        <f>IF(BP22="","",BM23*1000+BN23*10+BO23)</f>
        <v>3030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Germany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-7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90000011.120538712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4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5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62500009.19131276</v>
      </c>
      <c r="AQ26" s="126">
        <f>VLOOKUP(AE26,db_fifarank,2,FALSE)</f>
        <v>1673.13</v>
      </c>
      <c r="AR26" s="125">
        <f>AP26/AP30</f>
        <v>0.71428573730137934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12500000.143608894</v>
      </c>
      <c r="AQ27" s="126">
        <f>VLOOKUP(AE27,db_fifarank,2,FALSE)</f>
        <v>1503.5</v>
      </c>
      <c r="AR27" s="125">
        <f>AP27/AP30</f>
        <v>0.14285712809280773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England</v>
      </c>
      <c r="BM27" s="62">
        <v>1</v>
      </c>
      <c r="BN27" s="64">
        <v>2</v>
      </c>
      <c r="BO27" s="27"/>
      <c r="BP27" s="113">
        <f>IF(BP26="","",BM27*1000+BN27*10+BO27)</f>
        <v>1020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5</v>
      </c>
      <c r="AL28" s="123">
        <f>AI28-AJ28</f>
        <v>-1</v>
      </c>
      <c r="AM28" s="123">
        <f>AL28-AL30</f>
        <v>2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25000003.905552238</v>
      </c>
      <c r="AQ28" s="126">
        <f>VLOOKUP(AE28,db_fifarank,2,FALSE)</f>
        <v>1580.67</v>
      </c>
      <c r="AR28" s="125">
        <f>AP28/AP30</f>
        <v>0.28571429753800442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4 - 5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87500009.048418567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1 - 4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87500010.048418567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0</v>
      </c>
      <c r="AL32" s="123">
        <f>AI32-AJ32</f>
        <v>8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90000010.223087415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7.1924991030883763E-12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2 - 2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2</v>
      </c>
      <c r="AL34" s="123">
        <f>AI34-AJ34</f>
        <v>0</v>
      </c>
      <c r="AM34" s="123">
        <f>AL34-AL36</f>
        <v>6</v>
      </c>
      <c r="AN34" s="123">
        <f>AF34*3+AG34</f>
        <v>4</v>
      </c>
      <c r="AO34" s="123">
        <f>AN34/AN36*10+BA34</f>
        <v>4.9803921568627452</v>
      </c>
      <c r="AP34" s="123">
        <f>AO34*10000000+BI34*100+AM34/AM36*10+AI34/AI36*1++IF(AQ34=0,ROW(),AQ34)/2000000</f>
        <v>49804023.830831856</v>
      </c>
      <c r="AQ34" s="126">
        <f>VLOOKUP(AE34,db_fifarank,2,FALSE)</f>
        <v>1532.98</v>
      </c>
      <c r="AR34" s="125">
        <f>AP34/AP36</f>
        <v>0.55337797355802765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</v>
      </c>
      <c r="BA34" s="126">
        <f>AZ34/AZ36</f>
        <v>0.98039215686274506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</v>
      </c>
      <c r="BI34" s="126">
        <f>BH34/BH36</f>
        <v>0.98039215686274506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1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1 - 3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1</v>
      </c>
      <c r="AJ35" s="123">
        <f>SUMIF($E$7:$E$78,$AE35,$G$7:$G$78) + SUMIF($H$7:$H$78,$AE35,$F$7:$F$78)</f>
        <v>3</v>
      </c>
      <c r="AL35" s="123">
        <f>AI35-AJ35</f>
        <v>-2</v>
      </c>
      <c r="AM35" s="123">
        <f>AL35-AL36</f>
        <v>4</v>
      </c>
      <c r="AN35" s="123">
        <f>AF35*3+AG35</f>
        <v>4</v>
      </c>
      <c r="AO35" s="123">
        <f>AN35/AN36*10+BA35</f>
        <v>4.9803921568627452</v>
      </c>
      <c r="AP35" s="123">
        <f>AO35*10000000+BI35*100+AM35/AM36*10+AI35/AI36*1++IF(AQ35=0,ROW(),AQ35)/2000000</f>
        <v>49804022.386418305</v>
      </c>
      <c r="AQ35" s="126">
        <f>VLOOKUP(AE35,db_fifarank,2,FALSE)</f>
        <v>1594.78</v>
      </c>
      <c r="AR35" s="125">
        <f>AP35/AP36</f>
        <v>0.55337795750899021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</v>
      </c>
      <c r="BA35" s="126">
        <f>AZ35/AZ36</f>
        <v>0.98039215686274506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</v>
      </c>
      <c r="BI35" s="126">
        <f>BH35/BH36</f>
        <v>0.98039215686274506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-6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90000011.223087415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51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2</v>
      </c>
      <c r="BU36" s="63">
        <v>2</v>
      </c>
      <c r="BV36" s="25">
        <v>0</v>
      </c>
      <c r="BW36" s="116">
        <f>IF(OR(BT36="",BT37="",AND(BU36="",BU37&lt;&gt;""),AND(BU37="",BU36&lt;&gt;""),AND(BV36="",BV37&lt;&gt;""),AND(BV37="",BV36&lt;&gt;"")),"",BT36*1000+BU36*10+BV36)</f>
        <v>2020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>
        <v>2</v>
      </c>
      <c r="BV37" s="27">
        <v>1</v>
      </c>
      <c r="BW37" s="112">
        <f>IF(BW36="","",BT37*1000+BU37*10+BV37)</f>
        <v>2021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Germany</v>
      </c>
      <c r="CO37" s="61">
        <v>1</v>
      </c>
      <c r="CP37" s="63">
        <v>2</v>
      </c>
      <c r="CQ37" s="25">
        <v>1</v>
      </c>
      <c r="CR37" s="111">
        <f>IF(OR(CO37="",CO38="",AND(CP37="",CP38&lt;&gt;""),AND(CP38="",CP37&lt;&gt;""),AND(CQ37="",CQ38&lt;&gt;""),AND(CQ38="",CQ37&lt;&gt;"")),"",CO37*1000+CP37*10+CQ37)</f>
        <v>1021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90000009.764767826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>
        <v>3</v>
      </c>
      <c r="BO38" s="25"/>
      <c r="BP38" s="116">
        <f>IF(OR(BM38="",BM39="",AND(BN38="",BN39&lt;&gt;""),AND(BN39="",BN38&lt;&gt;""),AND(BO38="",BO39&lt;&gt;""),AND(BO39="",BO38&lt;&gt;"")),"",BM38*1000+BN38*10+BO38)</f>
        <v>2030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1</v>
      </c>
      <c r="CP38" s="64">
        <v>2</v>
      </c>
      <c r="CQ38" s="27">
        <v>0</v>
      </c>
      <c r="CR38" s="111">
        <f>IF(CR37="","",CO38*1000+CP38*10+CQ38)</f>
        <v>1020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2</v>
      </c>
      <c r="AL39" s="123">
        <f>AI39-AJ39</f>
        <v>1</v>
      </c>
      <c r="AM39" s="123">
        <f>AL39-AL42</f>
        <v>5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40000005.93138577</v>
      </c>
      <c r="AQ39" s="126">
        <f>VLOOKUP(AE39,db_fifarank,2,FALSE)</f>
        <v>1660.43</v>
      </c>
      <c r="AR39" s="125">
        <f>AP39/AP42</f>
        <v>0.44444445718938197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Senegal</v>
      </c>
      <c r="BM39" s="62">
        <v>2</v>
      </c>
      <c r="BN39" s="64">
        <v>2</v>
      </c>
      <c r="BO39" s="27"/>
      <c r="BP39" s="112">
        <f>IF(BP38="","",BM39*1000+BN39*10+BO39)</f>
        <v>2020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3 - 2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3</v>
      </c>
      <c r="AL40" s="123">
        <f>AI40-AJ40</f>
        <v>-1</v>
      </c>
      <c r="AM40" s="123">
        <f>AL40-AL42</f>
        <v>3</v>
      </c>
      <c r="AN40" s="123">
        <f>AF40*3+AG40</f>
        <v>2</v>
      </c>
      <c r="AO40" s="123">
        <f>AN40/AN42*10+BA40</f>
        <v>2</v>
      </c>
      <c r="AP40" s="123">
        <f>AO40*10000000+BI40*100+AM40/AM42*10+AI40/AI42*1++IF(AQ40=0,ROW(),AQ40)/2000000</f>
        <v>20000003.584090717</v>
      </c>
      <c r="AQ40" s="126">
        <f>VLOOKUP(AE40,db_fifarank,2,FALSE)</f>
        <v>1514.77</v>
      </c>
      <c r="AR40" s="125">
        <f>AP40/AP42</f>
        <v>0.22222223546577718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2 - 3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10000000.250741525</v>
      </c>
      <c r="AQ41" s="126">
        <f>VLOOKUP(AE41,db_fifarank,2,FALSE)</f>
        <v>1483.05</v>
      </c>
      <c r="AR41" s="125">
        <f>AP41/AP42</f>
        <v>0.11111110060729248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2 - 6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8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90000010.764767826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6</v>
      </c>
      <c r="AN44" s="123">
        <f>AF44*3+AG44</f>
        <v>7</v>
      </c>
      <c r="AO44" s="123">
        <f>AN44/AN48*10+BA44</f>
        <v>8.7565595277140051</v>
      </c>
      <c r="AP44" s="123">
        <f>AO44*10000000+BI44*100+AM44/AM48*10+AI44/AI48*1++IF(AQ44=0,ROW(),AQ44)/2000000</f>
        <v>87565604.682769299</v>
      </c>
      <c r="AQ44" s="126">
        <f>VLOOKUP(AE44,db_fifarank,2,FALSE)</f>
        <v>1734.71</v>
      </c>
      <c r="AR44" s="125">
        <f>AP44/AP48</f>
        <v>0.99999998857999106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1</v>
      </c>
      <c r="AZ44" s="126">
        <f>AT44/AT48*1000+AU44/AU48*100+AY44/AY48*10+AV44/AV48</f>
        <v>3.333333333333333</v>
      </c>
      <c r="BA44" s="126">
        <f>AZ44/AZ48</f>
        <v>6.5595277140045906E-3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4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3</v>
      </c>
      <c r="AL45" s="123">
        <f>AI45-AJ45</f>
        <v>-1</v>
      </c>
      <c r="AM45" s="123">
        <f>AL45-AL48</f>
        <v>1</v>
      </c>
      <c r="AN45" s="123">
        <f>AF45*3+AG45</f>
        <v>3</v>
      </c>
      <c r="AO45" s="123">
        <f>AN45/AN48*10+BA45</f>
        <v>3.75</v>
      </c>
      <c r="AP45" s="123">
        <f>AO45*10000000+BI45*100+AM45/AM48*10+AI45/AI48*1++IF(AQ45=0,ROW(),AQ45)/2000000</f>
        <v>37500001.762686379</v>
      </c>
      <c r="AQ45" s="126">
        <f>VLOOKUP(AE45,db_fifarank,2,FALSE)</f>
        <v>1563.24</v>
      </c>
      <c r="AR45" s="125">
        <f>AP45/AP48</f>
        <v>0.42825035549392004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-1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0</v>
      </c>
      <c r="AN46" s="123">
        <f>AF46*3+AG46</f>
        <v>3</v>
      </c>
      <c r="AO46" s="123">
        <f>AN46/AN48*10+BA46</f>
        <v>4.7480321416857985</v>
      </c>
      <c r="AP46" s="123">
        <f>AO46*10000000+BI46*100+AM46/AM48*10+AI46/AI48*1++IF(AQ46=0,ROW(),AQ46)/2000000</f>
        <v>47480321.750998974</v>
      </c>
      <c r="AQ46" s="126">
        <f>VLOOKUP(AE46,db_fifarank,2,FALSE)</f>
        <v>1615.3</v>
      </c>
      <c r="AR46" s="125">
        <f>AP46/AP48</f>
        <v>0.54222569901485762</v>
      </c>
      <c r="AT46" s="126" cm="1">
        <f t="array" ref="AT46">SUMPRODUCT(($S$7:$S$78=AE46&amp;"_win")*($U$7:$U$78))+SUMPRODUCT(($T$7:$T$78=AE46&amp;"_win")*($U$7:$U$78))</f>
        <v>1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1</v>
      </c>
      <c r="AY46" s="126">
        <f>AX46-MIN(AX44:AX47)</f>
        <v>2</v>
      </c>
      <c r="AZ46" s="126">
        <f>AT46/AT48*1000+AU46/AU48*100+AY46/AY48*10+AV46/AV48</f>
        <v>507.16666666666669</v>
      </c>
      <c r="BA46" s="126">
        <f>AZ46/AZ48</f>
        <v>0.99803214168579857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2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1</v>
      </c>
      <c r="AH47" s="123">
        <f>COUNTIF($S$7:$T$78,"=" &amp; AE47 &amp; "_lose")</f>
        <v>1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4</v>
      </c>
      <c r="AL47" s="123">
        <f>AI47-AJ47</f>
        <v>-1</v>
      </c>
      <c r="AM47" s="123">
        <f>AL47-AL48</f>
        <v>1</v>
      </c>
      <c r="AN47" s="123">
        <f>AF47*3+AG47</f>
        <v>4</v>
      </c>
      <c r="AO47" s="123">
        <f>AN47/AN48*10+BA47</f>
        <v>5.0065595277140043</v>
      </c>
      <c r="AP47" s="123">
        <f>AO47*10000000+BI47*100+AM47/AM48*10+AI47/AI48*1++IF(AQ47=0,ROW(),AQ47)/2000000</f>
        <v>50065597.206352256</v>
      </c>
      <c r="AQ47" s="126">
        <f>VLOOKUP(AE47,db_fifarank,2,FALSE)</f>
        <v>1281.57</v>
      </c>
      <c r="AR47" s="125">
        <f>AP47/AP48</f>
        <v>0.57174956783521569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1</v>
      </c>
      <c r="AZ47" s="126">
        <f>AT47/AT48*1000+AU47/AU48*100+AY47/AY48*10+AV47/AV48</f>
        <v>3.333333333333333</v>
      </c>
      <c r="BA47" s="126">
        <f>AZ47/AZ48</f>
        <v>6.5595277140045906E-3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Egypt</v>
      </c>
      <c r="K48" s="36">
        <f>L48+M48+N48</f>
        <v>3</v>
      </c>
      <c r="L48" s="36">
        <f>VLOOKUP(4,AD44:AN47,3,FALSE)</f>
        <v>1</v>
      </c>
      <c r="M48" s="36">
        <f>VLOOKUP(4,AD44:AN47,4,FALSE)</f>
        <v>0</v>
      </c>
      <c r="N48" s="36">
        <f>VLOOKUP(4,AD44:AN47,5,FALSE)</f>
        <v>2</v>
      </c>
      <c r="O48" s="36" t="str">
        <f>VLOOKUP(4,AD44:AN47,6,FALSE) &amp; " - " &amp; VLOOKUP(4,AD44:AN47,7,FALSE)</f>
        <v>2 - 3</v>
      </c>
      <c r="P48" s="37">
        <f>L48*3+M48</f>
        <v>3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2</v>
      </c>
      <c r="AG48" s="123">
        <f t="shared" si="24"/>
        <v>2</v>
      </c>
      <c r="AH48" s="123">
        <f t="shared" si="24"/>
        <v>3</v>
      </c>
      <c r="AI48" s="123">
        <f>MAX(AI44:AI47)+1</f>
        <v>6</v>
      </c>
      <c r="AL48" s="123">
        <f>MIN(AL44:AL47)</f>
        <v>-2</v>
      </c>
      <c r="AM48" s="123">
        <f>MAX(AM44:AM47)+1</f>
        <v>7</v>
      </c>
      <c r="AN48" s="123">
        <f>MAX(AN44:AN47)+1</f>
        <v>8</v>
      </c>
      <c r="AO48" s="123">
        <f>MAX(AO44:AO47)+1</f>
        <v>9.7565595277140051</v>
      </c>
      <c r="AP48" s="123">
        <f>MAX(AP44:AP47)+1</f>
        <v>87565605.682769299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3</v>
      </c>
      <c r="AZ48" s="126">
        <f>MAX(AZ44:AZ47)+1</f>
        <v>508.16666666666669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3</v>
      </c>
      <c r="CP49" s="64"/>
      <c r="CQ49" s="27"/>
      <c r="CR49" s="111">
        <f>IF(CR48="","",CO49*1000+CP49*10+CQ49)</f>
        <v>3000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3</v>
      </c>
      <c r="AL50" s="123">
        <f>AI50-AJ50</f>
        <v>8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90000010.292604879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>
        <v>4</v>
      </c>
      <c r="BO50" s="25"/>
      <c r="BP50" s="112">
        <f>IF(OR(BM50="",BM51="",AND(BN50="",BN51&lt;&gt;""),AND(BN51="",BN50&lt;&gt;""),AND(BO50="",BO51&lt;&gt;""),AND(BO51="",BO50&lt;&gt;"")),"",BM50*1000+BN50*10+BO50)</f>
        <v>2040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11 - 3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8.4016398333333325E-2</v>
      </c>
      <c r="AQ51" s="126">
        <f>VLOOKUP(AE51,db_fifarank,2,FALSE)</f>
        <v>1366.13</v>
      </c>
      <c r="AR51" s="125">
        <f>AP51/AP54</f>
        <v>9.3351541990569496E-10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Ecuador</v>
      </c>
      <c r="BM51" s="62">
        <v>2</v>
      </c>
      <c r="BN51" s="64">
        <v>2</v>
      </c>
      <c r="BO51" s="27"/>
      <c r="BP51" s="113">
        <f>IF(BP50="","",BM51*1000+BN51*10+BO51)</f>
        <v>2020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8 - 5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7</v>
      </c>
      <c r="AL52" s="123">
        <f>AI52-AJ52</f>
        <v>-4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30000002.125710715</v>
      </c>
      <c r="AQ52" s="126">
        <f>VLOOKUP(AE52,db_fifarank,2,FALSE)</f>
        <v>1421.43</v>
      </c>
      <c r="AR52" s="125">
        <f>AP52/AP54</f>
        <v>0.33333331512788106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>
        <v>1</v>
      </c>
      <c r="BV52" s="25"/>
      <c r="BW52" s="116">
        <f>IF(OR(BT52="",BT53="",AND(BU52="",BU53&lt;&gt;""),AND(BU53="",BU52&lt;&gt;""),AND(BV52="",BV53&lt;&gt;""),AND(BV53="",BV52&lt;&gt;"")),"",BT52*1000+BU52*10+BV52)</f>
        <v>10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3 - 7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5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60000006.9175032</v>
      </c>
      <c r="AQ53" s="126">
        <f>VLOOKUP(AE53,db_fifarank,2,FALSE)</f>
        <v>1673.07</v>
      </c>
      <c r="AR53" s="125">
        <f>AP53/AP54</f>
        <v>0.66666665987888918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Croatia</v>
      </c>
      <c r="BT53" s="62">
        <v>0</v>
      </c>
      <c r="BU53" s="64">
        <v>0</v>
      </c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-7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90000011.292604879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Croatia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1</v>
      </c>
      <c r="CI55" s="63">
        <v>1</v>
      </c>
      <c r="CJ55" s="25">
        <v>0</v>
      </c>
      <c r="CK55" s="116">
        <f>IF(OR(CH55="",CH56="",AND(CI55="",CI56&lt;&gt;""),AND(CI56="",CI55&lt;&gt;""),AND(CJ55="",CJ56&lt;&gt;""),AND(CJ56="",CJ55&lt;&gt;"")),"",CH55*1000+CI55*10+CJ55)</f>
        <v>1010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0</v>
      </c>
      <c r="AH56" s="123">
        <f>COUNTIF($S$7:$T$78,"=" &amp; AE56 &amp; "_lose")</f>
        <v>1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4</v>
      </c>
      <c r="AL56" s="123">
        <f>AI56-AJ56</f>
        <v>3</v>
      </c>
      <c r="AM56" s="123">
        <f>AL56-AL60</f>
        <v>10</v>
      </c>
      <c r="AN56" s="123">
        <f>AF56*3+AG56</f>
        <v>6</v>
      </c>
      <c r="AO56" s="123">
        <f>AN56/AN60*10+BA56</f>
        <v>9.5694618741688355</v>
      </c>
      <c r="AP56" s="123">
        <f>AO56*10000000+BI56*100+AM56/AM60*10+AI56/AI60*1++IF(AQ56=0,ROW(),AQ56)/2000000</f>
        <v>95694628.708536103</v>
      </c>
      <c r="AQ56" s="126">
        <f>VLOOKUP(AE56,db_fifarank,2,FALSE)</f>
        <v>1877.32</v>
      </c>
      <c r="AR56" s="125">
        <f>AP56/AP60</f>
        <v>0.99999998955009284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1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4</v>
      </c>
      <c r="AW56" s="126" cm="1">
        <f t="array" ref="AW56">SUMPRODUCT(($E$7:$E$78=AE56)*($U$7:$U$78)*($G$7:$G$78))+SUMPRODUCT(($H$7:$H$78=AE56)*($U$7:$U$78)*($F$7:$F$78))</f>
        <v>3</v>
      </c>
      <c r="AX56" s="126">
        <f>AV56-AW56</f>
        <v>1</v>
      </c>
      <c r="AY56" s="126">
        <f>AX56-MIN(AX56:AX59)</f>
        <v>2</v>
      </c>
      <c r="AZ56" s="126">
        <f>AT56/AT60*1000+AU56/AU60*100+AY56/AY60*10+AV56/AV60</f>
        <v>507.4666666666667</v>
      </c>
      <c r="BA56" s="126">
        <f>AZ56/AZ60</f>
        <v>0.9980333027402648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>
        <v>1</v>
      </c>
      <c r="CJ56" s="27">
        <v>1</v>
      </c>
      <c r="CK56" s="112">
        <f>IF(CK55="","",CH56*1000+CI56*10+CJ56)</f>
        <v>1011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0</v>
      </c>
      <c r="N57" s="31">
        <f>VLOOKUP(1,AD56:AN59,5,FALSE)</f>
        <v>1</v>
      </c>
      <c r="O57" s="31" t="str">
        <f>VLOOKUP(1,AD56:AN59,6,FALSE) &amp; " - " &amp; VLOOKUP(1,AD56:AN59,7,FALSE)</f>
        <v>7 - 4</v>
      </c>
      <c r="P57" s="32">
        <f>L57*3+M57</f>
        <v>6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4</v>
      </c>
      <c r="AL57" s="123">
        <f>AI57-AJ57</f>
        <v>2</v>
      </c>
      <c r="AM57" s="123">
        <f>AL57-AL60</f>
        <v>9</v>
      </c>
      <c r="AN57" s="123">
        <f>AF57*3+AG57</f>
        <v>6</v>
      </c>
      <c r="AO57" s="123">
        <f>AN57/AN60*10+BA57</f>
        <v>9.5559572196519884</v>
      </c>
      <c r="AP57" s="123">
        <f>AO57*10000000+BI57*100+AM57/AM60*10+AI57/AI60*1++IF(AQ57=0,ROW(),AQ57)/2000000</f>
        <v>95559581.129182562</v>
      </c>
      <c r="AQ57" s="126">
        <f>VLOOKUP(AE57,db_fifarank,2,FALSE)</f>
        <v>1688.99</v>
      </c>
      <c r="AR57" s="125">
        <f>AP57/AP60</f>
        <v>0.99858875487825316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1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3</v>
      </c>
      <c r="AW57" s="126" cm="1">
        <f t="array" ref="AW57">SUMPRODUCT(($E$7:$E$78=AE57)*($U$7:$U$78)*($G$7:$G$78))+SUMPRODUCT(($H$7:$H$78=AE57)*($U$7:$U$78)*($F$7:$F$78))</f>
        <v>4</v>
      </c>
      <c r="AX57" s="126">
        <f>AV57-AW57</f>
        <v>-1</v>
      </c>
      <c r="AY57" s="126">
        <f>AX57-MIN(AX56:AX59)</f>
        <v>0</v>
      </c>
      <c r="AZ57" s="126">
        <f>AT57/AT60*1000+AU57/AU60*100+AY57/AY60*10+AV57/AV60</f>
        <v>500.6</v>
      </c>
      <c r="BA57" s="126">
        <f>AZ57/AZ60</f>
        <v>0.98452864822341679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6.5556575324505042E-3</v>
      </c>
      <c r="AP58" s="123">
        <f>AO58*10000000+BI58*100+AM58/AM60*10+AI58/AI60*1++IF(AQ58=0,ROW(),AQ58)/2000000</f>
        <v>65556.701048075047</v>
      </c>
      <c r="AQ58" s="126">
        <f>VLOOKUP(AE58,db_fifarank,2,FALSE)</f>
        <v>1447.14</v>
      </c>
      <c r="AR58" s="125">
        <f>AP58/AP60</f>
        <v>6.8506144229562021E-4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1</v>
      </c>
      <c r="AZ58" s="126">
        <f>AT58/AT60*1000+AU58/AU60*100+AY58/AY60*10+AV58/AV60</f>
        <v>3.333333333333333</v>
      </c>
      <c r="BA58" s="126">
        <f>AZ58/AZ60</f>
        <v>6.5556575324505042E-3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5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5000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2</v>
      </c>
      <c r="M59" s="23">
        <f>VLOOKUP(3,AD56:AN59,4,FALSE)</f>
        <v>0</v>
      </c>
      <c r="N59" s="23">
        <f>VLOOKUP(3,AD56:AN59,5,FALSE)</f>
        <v>1</v>
      </c>
      <c r="O59" s="23" t="str">
        <f>VLOOKUP(3,AD56:AN59,6,FALSE) &amp; " - " &amp; VLOOKUP(3,AD56:AN59,7,FALSE)</f>
        <v>6 - 4</v>
      </c>
      <c r="P59" s="34">
        <f>L59*3+M59</f>
        <v>6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9.5625128771844388</v>
      </c>
      <c r="AP59" s="123">
        <f>AO59*10000000+BI59*100+AM59/AM60*10+AI59/AI60*1++IF(AQ59=0,ROW(),AQ59)/2000000</f>
        <v>95625137.579438046</v>
      </c>
      <c r="AQ59" s="126">
        <f>VLOOKUP(AE59,db_fifarank,2,FALSE)</f>
        <v>1550.94</v>
      </c>
      <c r="AR59" s="125">
        <f>AP59/AP60</f>
        <v>0.99927381369978951</v>
      </c>
      <c r="AT59" s="126" cm="1">
        <f t="array" ref="AT59">SUMPRODUCT(($S$7:$S$78=AE59&amp;"_win")*($U$7:$U$78))+SUMPRODUCT(($T$7:$T$78=AE59&amp;"_win")*($U$7:$U$78))</f>
        <v>1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3</v>
      </c>
      <c r="AW59" s="126" cm="1">
        <f t="array" ref="AW59">SUMPRODUCT(($E$7:$E$78=AE59)*($U$7:$U$78)*($G$7:$G$78))+SUMPRODUCT(($H$7:$H$78=AE59)*($U$7:$U$78)*($F$7:$F$78))</f>
        <v>3</v>
      </c>
      <c r="AX59" s="126">
        <f>AV59-AW59</f>
        <v>0</v>
      </c>
      <c r="AY59" s="126">
        <f>AX59-MIN(AX56:AX59)</f>
        <v>1</v>
      </c>
      <c r="AZ59" s="126">
        <f>AT59/AT60*1000+AU59/AU60*100+AY59/AY60*10+AV59/AV60</f>
        <v>503.93333333333334</v>
      </c>
      <c r="BA59" s="126">
        <f>AZ59/AZ60</f>
        <v>0.99108430575586726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2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1</v>
      </c>
      <c r="AH60" s="123">
        <f t="shared" si="27"/>
        <v>3</v>
      </c>
      <c r="AI60" s="123">
        <f>MAX(AI56:AI59)+1</f>
        <v>8</v>
      </c>
      <c r="AL60" s="123">
        <f>MIN(AL56:AL59)</f>
        <v>-7</v>
      </c>
      <c r="AM60" s="123">
        <f>MAX(AM56:AM59)+1</f>
        <v>11</v>
      </c>
      <c r="AN60" s="123">
        <f>MAX(AN56:AN59)+1</f>
        <v>7</v>
      </c>
      <c r="AO60" s="123">
        <f>MAX(AO56:AO59)+1</f>
        <v>10.569461874168836</v>
      </c>
      <c r="AP60" s="123">
        <f>MAX(AP56:AP59)+1</f>
        <v>95694629.708536103</v>
      </c>
      <c r="AT60" s="126">
        <f>MAX(AT56:AT59)-MIN(AT56:AT59)+1</f>
        <v>2</v>
      </c>
      <c r="AU60" s="126">
        <f>MAX(AU56:AU59)-MIN(AU56:AU59)+1</f>
        <v>1</v>
      </c>
      <c r="AV60" s="126">
        <f>MAX(AV56:AV59)-MIN(AV56:AV59)+1</f>
        <v>5</v>
      </c>
      <c r="AW60" s="126">
        <f>MAX(AW56:AW59)-MIN(AW56:AW59)+1</f>
        <v>5</v>
      </c>
      <c r="AY60" s="126">
        <f>MAX(AY56:AY59)-MIN(AY56:AY59)+1</f>
        <v>3</v>
      </c>
      <c r="AZ60" s="126">
        <f>MAX(AZ56:AZ59)+1</f>
        <v>508.4666666666667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1</v>
      </c>
      <c r="AL62" s="123">
        <f>AI62-AJ62</f>
        <v>9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90000010.243361652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2</v>
      </c>
      <c r="BN62" s="63">
        <v>4</v>
      </c>
      <c r="BO62" s="25"/>
      <c r="BP62" s="116">
        <f>IF(OR(BM62="",BM63="",AND(BN62="",BN63&lt;&gt;""),AND(BN63="",BN62&lt;&gt;""),AND(BO62="",BO63&lt;&gt;""),AND(BO63="",BO62&lt;&gt;"")),"",BM62*1000+BN62*10+BO62)</f>
        <v>2040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0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20000001.515933644</v>
      </c>
      <c r="AQ63" s="126">
        <f>VLOOKUP(AE63,db_fifarank,2,FALSE)</f>
        <v>1564.26</v>
      </c>
      <c r="AR63" s="125">
        <f>AP63/AP66</f>
        <v>0.22222221130454395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New Zealand</v>
      </c>
      <c r="BM63" s="62">
        <v>2</v>
      </c>
      <c r="BN63" s="64">
        <v>3</v>
      </c>
      <c r="BO63" s="27"/>
      <c r="BP63" s="112">
        <f>IF(BP62="","",BM63*1000+BN63*10+BO63)</f>
        <v>2030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4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40000002.849281572</v>
      </c>
      <c r="AQ64" s="126">
        <f>VLOOKUP(AE64,db_fifarank,2,FALSE)</f>
        <v>1593.45</v>
      </c>
      <c r="AR64" s="125">
        <f>AP64/AP66</f>
        <v>0.44444442058035799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2</v>
      </c>
      <c r="CC64" s="25">
        <v>0</v>
      </c>
      <c r="CD64" s="116">
        <f>IF(OR(CA64="",CA65="",AND(CB64="",CB65&lt;&gt;""),AND(CB65="",CB64&lt;&gt;""),AND(CC64="",CC65&lt;&gt;""),AND(CC65="",CC64&lt;&gt;"")),"",CA64*1000+CB64*10+CC64)</f>
        <v>2020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2 - 5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0.11111109723814973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2</v>
      </c>
      <c r="CC65" s="27">
        <v>1</v>
      </c>
      <c r="CD65" s="112">
        <f>IF(CD64="","",CA65*1000+CB65*10+CC65)</f>
        <v>2021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0 - 5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11</v>
      </c>
      <c r="AL66" s="123">
        <f>MIN(AL62:AL65)</f>
        <v>-5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90000011.243361652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Norway_win</v>
      </c>
      <c r="T67" s="127" t="str">
        <f t="shared" si="20"/>
        <v>France_lose</v>
      </c>
      <c r="U67" s="123">
        <f t="shared" si="8"/>
        <v>1</v>
      </c>
      <c r="V67" s="123">
        <f t="shared" si="21"/>
        <v>2</v>
      </c>
      <c r="W67" s="123">
        <f t="shared" si="22"/>
        <v>1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1</v>
      </c>
      <c r="BK67" s="14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90000010.067548588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Germany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0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1</v>
      </c>
      <c r="V69" s="123">
        <f t="shared" si="21"/>
        <v>0</v>
      </c>
      <c r="W69" s="123">
        <f t="shared" si="22"/>
        <v>1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1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30000000.934072509</v>
      </c>
      <c r="AQ69" s="126">
        <f>VLOOKUP(AE69,db_fifarank,2,FALSE)</f>
        <v>1478.35</v>
      </c>
      <c r="AR69" s="125">
        <f>AP69/AP72</f>
        <v>0.33333330272099981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5 - 5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0.10073267000000001</v>
      </c>
      <c r="AQ70" s="126">
        <f>VLOOKUP(AE70,db_fifarank,2,FALSE)</f>
        <v>1465.34</v>
      </c>
      <c r="AR70" s="125">
        <f>AP70/AP72</f>
        <v>1.1192517512514097E-9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5</v>
      </c>
      <c r="AL71" s="123">
        <f>AI71-AJ71</f>
        <v>0</v>
      </c>
      <c r="AM71" s="123">
        <f>AL71-AL72</f>
        <v>4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60000003.834179878</v>
      </c>
      <c r="AQ71" s="126">
        <f>VLOOKUP(AE71,db_fifarank,2,FALSE)</f>
        <v>1693.09</v>
      </c>
      <c r="AR71" s="125">
        <f>AP71/AP72</f>
        <v>0.66666662728682879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1 - 5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10</v>
      </c>
      <c r="AL72" s="123">
        <f>MIN(AL68:AL71)</f>
        <v>-4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90000011.067548588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3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2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4</v>
      </c>
      <c r="AL74" s="123">
        <f>AI74-AJ74</f>
        <v>2</v>
      </c>
      <c r="AM74" s="123">
        <f>AL74-AL78</f>
        <v>8</v>
      </c>
      <c r="AN74" s="123">
        <f>AF74*3+AG74</f>
        <v>5</v>
      </c>
      <c r="AO74" s="123">
        <f>AN74/AN78*10+BA74</f>
        <v>6.25</v>
      </c>
      <c r="AP74" s="123">
        <f>AO74*10000000+BI74*100+AM74/AM78*10+AI74/AI78*1++IF(AQ74=0,ROW(),AQ74)/2000000</f>
        <v>62500007.940306924</v>
      </c>
      <c r="AQ74" s="126">
        <f>VLOOKUP(AE74,db_fifarank,2,FALSE)</f>
        <v>1825.97</v>
      </c>
      <c r="AR74" s="125">
        <f>AP74/AP78</f>
        <v>0.7142857153940666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8 - 4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8</v>
      </c>
      <c r="AJ75" s="123">
        <f>SUMIF($E$7:$E$78,$AE75,$G$7:$G$78) + SUMIF($H$7:$H$78,$AE75,$F$7:$F$78)</f>
        <v>4</v>
      </c>
      <c r="AL75" s="123">
        <f>AI75-AJ75</f>
        <v>4</v>
      </c>
      <c r="AM75" s="123">
        <f>AL75-AL78</f>
        <v>10</v>
      </c>
      <c r="AN75" s="123">
        <f>AF75*3+AG75</f>
        <v>7</v>
      </c>
      <c r="AO75" s="123">
        <f>AN75/AN78*10+BA75</f>
        <v>8.75</v>
      </c>
      <c r="AP75" s="123">
        <f>AO75*10000000+BI75*100+AM75/AM78*10+AI75/AI78*1++IF(AQ75=0,ROW(),AQ75)/2000000</f>
        <v>87500009.98065652</v>
      </c>
      <c r="AQ75" s="126">
        <f>VLOOKUP(AE75,db_fifarank,2,FALSE)</f>
        <v>1717.07</v>
      </c>
      <c r="AR75" s="125">
        <f>AP75/AP78</f>
        <v>0.99999998857143002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6 - 4</v>
      </c>
      <c r="P76" s="34">
        <f>L76*3+M76</f>
        <v>5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6</v>
      </c>
      <c r="AL76" s="123">
        <f>AI76-AJ76</f>
        <v>0</v>
      </c>
      <c r="AM76" s="123">
        <f>AL76-AL78</f>
        <v>6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50000006.12188527</v>
      </c>
      <c r="AQ76" s="126">
        <f>VLOOKUP(AE76,db_fifarank,2,FALSE)</f>
        <v>1346.31</v>
      </c>
      <c r="AR76" s="125">
        <f>AP76/AP78</f>
        <v>0.57142856968256484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4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6 - 6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7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0.11188143111111111</v>
      </c>
      <c r="AQ77" s="126">
        <f>VLOOKUP(AE77,db_fifarank,2,FALSE)</f>
        <v>1540.64</v>
      </c>
      <c r="AR77" s="125">
        <f>AP77/AP78</f>
        <v>1.2786447665228814E-9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9</v>
      </c>
      <c r="AL78" s="123">
        <f>MIN(AL74:AL77)</f>
        <v>-6</v>
      </c>
      <c r="AM78" s="123">
        <f>MAX(AM74:AM77)+1</f>
        <v>11</v>
      </c>
      <c r="AN78" s="123">
        <f>MAX(AN74:AN77)+1</f>
        <v>8</v>
      </c>
      <c r="AO78" s="123">
        <f>MAX(AO74:AO77)+1</f>
        <v>9.75</v>
      </c>
      <c r="AP78" s="123">
        <f>MAX(AP74:AP77)+1</f>
        <v>87500010.98065652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6200.0007943299988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6 - 4</v>
      </c>
      <c r="P81" s="98">
        <f>L81*3+M81</f>
        <v>6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4600.000692919999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Ghana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6 - 6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4928.5721777464287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Ⓐ Korea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3342.8579331921428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1 - 3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4</v>
      </c>
      <c r="AP84" s="123">
        <f>AN84/AN92*10000+AM84/AM92*1000+AI84/AI92*100+IF(AQ84=0,ROW(),AQ84)/2000000</f>
        <v>6014.2865116757139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5 - 5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2</v>
      </c>
      <c r="AP85" s="123">
        <f>AN85/AN92*10000+AM85/AM92*1000+AI85/AI92*100+IF(AQ85=0,ROW(),AQ85)/2000000</f>
        <v>3314.2864716707136</v>
      </c>
      <c r="AQ85" s="126">
        <f t="shared" si="37"/>
        <v>1514.77</v>
      </c>
      <c r="AR85" s="125" t="str">
        <f t="shared" si="50"/>
        <v>ABCE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6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4600.0008076499989</v>
      </c>
      <c r="AQ86" s="126">
        <f t="shared" si="37"/>
        <v>1615.3</v>
      </c>
      <c r="AR86" s="125" t="str">
        <f t="shared" si="50"/>
        <v>ABCEG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Ⓑ Bosnia and Herzegovina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7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4328.5721392864289</v>
      </c>
      <c r="AQ87" s="126">
        <f t="shared" si="37"/>
        <v>1421.43</v>
      </c>
      <c r="AR87" s="125" t="str">
        <f t="shared" si="50"/>
        <v>ABCEG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1</v>
      </c>
      <c r="AE88" s="124" t="str">
        <f>J59</f>
        <v>Senegal</v>
      </c>
      <c r="AF88" s="123">
        <f t="shared" si="39"/>
        <v>2</v>
      </c>
      <c r="AG88" s="123">
        <f t="shared" si="49"/>
        <v>0</v>
      </c>
      <c r="AH88" s="123">
        <f t="shared" si="40"/>
        <v>1</v>
      </c>
      <c r="AI88" s="123">
        <f t="shared" si="41"/>
        <v>6</v>
      </c>
      <c r="AJ88" s="123">
        <f t="shared" si="42"/>
        <v>4</v>
      </c>
      <c r="AK88" s="123" t="s">
        <v>3189</v>
      </c>
      <c r="AL88" s="123">
        <f t="shared" si="43"/>
        <v>2</v>
      </c>
      <c r="AM88" s="123">
        <f t="shared" si="44"/>
        <v>6</v>
      </c>
      <c r="AN88" s="123">
        <f t="shared" si="45"/>
        <v>6</v>
      </c>
      <c r="AP88" s="123">
        <f>AN88/AN92*10000+AM88/AM92*1000+AI88/AI92*100+IF(AQ88=0,ROW(),AQ88)/2000000</f>
        <v>9514.2865587807137</v>
      </c>
      <c r="AQ88" s="126">
        <f t="shared" si="37"/>
        <v>1688.99</v>
      </c>
      <c r="AR88" s="125" t="str">
        <f t="shared" si="50"/>
        <v>ABCEGI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3 - 7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3028.572210701428</v>
      </c>
      <c r="AQ89" s="126">
        <f t="shared" si="37"/>
        <v>1564.26</v>
      </c>
      <c r="AR89" s="125" t="str">
        <f t="shared" si="50"/>
        <v>ABCEGI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4 - 5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4442.8578820321427</v>
      </c>
      <c r="AQ90" s="126">
        <f t="shared" si="37"/>
        <v>1478.35</v>
      </c>
      <c r="AR90" s="125" t="str">
        <f t="shared" si="50"/>
        <v>ABCEGIK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2 - 3</v>
      </c>
      <c r="P91" s="104">
        <f t="shared" si="48"/>
        <v>2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6</v>
      </c>
      <c r="AJ91" s="123">
        <f>VLOOKUP($AE91,$AE$8:$AQ$78,6,FALSE)</f>
        <v>6</v>
      </c>
      <c r="AK91" s="123" t="s">
        <v>3192</v>
      </c>
      <c r="AL91" s="123">
        <f>VLOOKUP($AE91,$AE$8:$AQ$78,8,FALSE)</f>
        <v>0</v>
      </c>
      <c r="AM91" s="123">
        <f t="shared" si="44"/>
        <v>4</v>
      </c>
      <c r="AN91" s="123">
        <f>VLOOKUP($AE91,$AE$8:$AQ$78,10,FALSE)</f>
        <v>4</v>
      </c>
      <c r="AP91" s="123">
        <f>AN91/AN92*10000+AM91/AM92*1000+AI91/AI92*100+IF(AQ91=0,ROW(),AQ91)/2000000</f>
        <v>6371.4292445835708</v>
      </c>
      <c r="AQ91" s="126">
        <f t="shared" si="37"/>
        <v>1346.31</v>
      </c>
      <c r="AR91" s="125" t="str">
        <f t="shared" si="50"/>
        <v>ABCEGIKL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2 - 5</v>
      </c>
      <c r="P92" s="107">
        <f t="shared" si="48"/>
        <v>2</v>
      </c>
      <c r="AF92" s="123">
        <f>MAX(AF80:AF91)+1</f>
        <v>3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-4</v>
      </c>
      <c r="AM92" s="123">
        <f>MAX(AM80:AM91)+1</f>
        <v>7</v>
      </c>
      <c r="AN92" s="123">
        <f>MAX(AN80:AN91)+1</f>
        <v>7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Germany</v>
      </c>
      <c r="T111" s="127" t="str">
        <f>S111</f>
        <v>Germany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397</v>
      </c>
      <c r="C3" s="121" t="str">
        <f>'2026 World Cup'!AR91</f>
        <v>ABCEGIKL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3A</v>
      </c>
      <c r="H3" s="121" t="str">
        <f>VLOOKUP($C3,$C$6:$K$500,6,FALSE)</f>
        <v>3I</v>
      </c>
      <c r="I3" s="121" t="str">
        <f>VLOOKUP($C3,$C$6:$K$500,7,FALSE)</f>
        <v>3C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EB43E5-3314-4376-8B5D-59BCC08821D6}"/>
</file>

<file path=customXml/itemProps2.xml><?xml version="1.0" encoding="utf-8"?>
<ds:datastoreItem xmlns:ds="http://schemas.openxmlformats.org/officeDocument/2006/customXml" ds:itemID="{2CC14B06-D80F-4D3A-BA0F-658C297DEE78}"/>
</file>

<file path=customXml/itemProps3.xml><?xml version="1.0" encoding="utf-8"?>
<ds:datastoreItem xmlns:ds="http://schemas.openxmlformats.org/officeDocument/2006/customXml" ds:itemID="{C806D1B8-D1EA-49D4-8C62-699B062F00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2026-06-11T11:09:20Z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