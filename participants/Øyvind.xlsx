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CD1DF101-3FA2-4CF3-A0EF-DE8899DE6C88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S25" i="3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75" i="3"/>
  <c r="T25" i="3"/>
  <c r="T49" i="3"/>
  <c r="S47" i="3"/>
  <c r="S67" i="3"/>
  <c r="S72" i="3"/>
  <c r="T46" i="3"/>
  <c r="S70" i="3"/>
  <c r="S42" i="3"/>
  <c r="S64" i="3"/>
  <c r="T41" i="3"/>
  <c r="S40" i="3"/>
  <c r="S62" i="3"/>
  <c r="S38" i="3"/>
  <c r="S65" i="3"/>
  <c r="S55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11" i="3" l="1"/>
  <c r="AR70" i="3"/>
  <c r="AD58" i="3"/>
  <c r="AR10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34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J69" i="3" l="1"/>
  <c r="AS68" i="3" s="1"/>
  <c r="BL70" i="3" s="1"/>
  <c r="L36" i="3"/>
  <c r="M69" i="3"/>
  <c r="N69" i="3"/>
  <c r="M72" i="3"/>
  <c r="O69" i="3"/>
  <c r="L69" i="3"/>
  <c r="J71" i="3"/>
  <c r="AE90" i="3" s="1"/>
  <c r="AQ90" i="3" s="1"/>
  <c r="N72" i="3"/>
  <c r="N71" i="3"/>
  <c r="L72" i="3"/>
  <c r="L71" i="3"/>
  <c r="N70" i="3"/>
  <c r="O71" i="3"/>
  <c r="M71" i="3"/>
  <c r="O72" i="3"/>
  <c r="J72" i="3"/>
  <c r="L70" i="3"/>
  <c r="J70" i="3"/>
  <c r="AS69" i="3" s="1"/>
  <c r="BL26" i="3" s="1"/>
  <c r="BS28" i="3" s="1"/>
  <c r="O70" i="3"/>
  <c r="O34" i="3"/>
  <c r="M70" i="3"/>
  <c r="O36" i="3"/>
  <c r="J36" i="3"/>
  <c r="M35" i="3"/>
  <c r="J33" i="3"/>
  <c r="AS32" i="3" s="1"/>
  <c r="BL10" i="3" s="1"/>
  <c r="N35" i="3"/>
  <c r="N36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BS45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S86" i="3"/>
  <c r="T86" i="3" s="1" a="1"/>
  <c r="T86" i="3" s="1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Z48" i="3" l="1"/>
  <c r="K69" i="3"/>
  <c r="AH90" i="3"/>
  <c r="AG90" i="3"/>
  <c r="P69" i="3"/>
  <c r="AF90" i="3"/>
  <c r="AN90" i="3"/>
  <c r="AJ90" i="3"/>
  <c r="AI90" i="3"/>
  <c r="AT90" i="3"/>
  <c r="AL90" i="3"/>
  <c r="P72" i="3"/>
  <c r="P71" i="3"/>
  <c r="K71" i="3"/>
  <c r="P33" i="3"/>
  <c r="K72" i="3"/>
  <c r="P70" i="3"/>
  <c r="K70" i="3"/>
  <c r="P35" i="3"/>
  <c r="P12" i="3"/>
  <c r="K36" i="3"/>
  <c r="P34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S111" i="3" s="1"/>
  <c r="T111" i="3" s="1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U102" i="3" s="1"/>
  <c r="AC102" i="3" s="1" a="1"/>
  <c r="AC102" i="3" s="1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BS53" i="3" s="1"/>
  <c r="E3" i="4"/>
  <c r="BL67" i="3" s="1"/>
  <c r="J3" i="4"/>
  <c r="BL71" i="3" s="1"/>
  <c r="I3" i="4"/>
  <c r="BL15" i="3" s="1"/>
  <c r="D3" i="4"/>
  <c r="BL51" i="3" s="1"/>
  <c r="BS52" i="3"/>
  <c r="BZ49" i="3" s="1"/>
  <c r="CG55" i="3" s="1"/>
  <c r="BS69" i="3"/>
  <c r="BZ65" i="3" s="1"/>
  <c r="CG56" i="3" s="1"/>
  <c r="CN38" i="3" s="1"/>
  <c r="BS68" i="3"/>
  <c r="CN49" i="3" l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<sst xmlns="http://schemas.openxmlformats.org/spreadsheetml/2006/main" count="9786" uniqueCount="3698">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</sst>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CB18" zoomScale="160" zoomScaleNormal="160" workbookViewId="0">
      <selection activeCell="CO50" sqref="CO50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8</v>
      </c>
      <c r="AJ8" s="123">
        <f>SUMIF($E$7:$E$78,$AE8,$G$7:$G$78) + SUMIF($H$7:$H$78,$AE8,$F$7:$F$78)</f>
        <v>4</v>
      </c>
      <c r="AL8" s="123">
        <f>AI8-AJ8</f>
        <v>4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90000009.778618306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8 - 4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4</v>
      </c>
      <c r="AJ9" s="123">
        <f>SUMIF($E$7:$E$78,$AE9,$G$7:$G$78) + SUMIF($H$7:$H$78,$AE9,$F$7:$F$78)</f>
        <v>5</v>
      </c>
      <c r="AL9" s="123">
        <f>AI9-AJ9</f>
        <v>-1</v>
      </c>
      <c r="AM9" s="123">
        <f>AL9-AL12</f>
        <v>3</v>
      </c>
      <c r="AN9" s="123">
        <f>AF9*3+AG9</f>
        <v>3</v>
      </c>
      <c r="AO9" s="123">
        <f>AN9/AN12*10+BA9</f>
        <v>3</v>
      </c>
      <c r="AP9" s="123">
        <f>AO9*10000000+BI9*100+AM9/AM12*10+AI9/AI12*1++IF(AQ9=0,ROW(),AQ9)/2000000</f>
        <v>30000003.778492641</v>
      </c>
      <c r="AQ9" s="126">
        <f>VLOOKUP(AE9,db_fifarank,2,FALSE)</f>
        <v>1429.73</v>
      </c>
      <c r="AR9" s="125">
        <f>AP9/AP12</f>
        <v>0.33333333539577609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0</v>
      </c>
      <c r="AH10" s="123">
        <f>COUNTIF($S$7:$T$78,"=" &amp; AE10 &amp; "_lose")</f>
        <v>3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7</v>
      </c>
      <c r="AL10" s="123">
        <f>AI10-AJ10</f>
        <v>-4</v>
      </c>
      <c r="AM10" s="123">
        <f>AL10-AL12</f>
        <v>0</v>
      </c>
      <c r="AN10" s="123">
        <f>AF10*3+AG10</f>
        <v>0</v>
      </c>
      <c r="AO10" s="123">
        <f>AN10/AN12*10+BA10</f>
        <v>0</v>
      </c>
      <c r="AP10" s="123">
        <f>AO10*10000000+BI10*100+AM10/AM12*10+AI10/AI12*1++IF(AQ10=0,ROW(),AQ10)/2000000</f>
        <v>0.33412766333333332</v>
      </c>
      <c r="AQ10" s="126">
        <f>VLOOKUP(AE10,db_fifarank,2,FALSE)</f>
        <v>1588.66</v>
      </c>
      <c r="AR10" s="125">
        <f>AP10/AP12</f>
        <v>3.7125291479710967E-9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Ivory Coast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4 - 5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4</v>
      </c>
      <c r="AL11" s="123">
        <f>AI11-AJ11</f>
        <v>1</v>
      </c>
      <c r="AM11" s="123">
        <f>AL11-AL12</f>
        <v>5</v>
      </c>
      <c r="AN11" s="123">
        <f>AF11*3+AG11</f>
        <v>6</v>
      </c>
      <c r="AO11" s="123">
        <f>AN11/AN12*10+BA11</f>
        <v>6</v>
      </c>
      <c r="AP11" s="123">
        <f>AO11*10000000+BI11*100+AM11/AM12*10+AI11/AI12*1++IF(AQ11=0,ROW(),AQ11)/2000000</f>
        <v>60000006.111861795</v>
      </c>
      <c r="AQ11" s="126">
        <f>VLOOKUP(AE11,db_fifarank,2,FALSE)</f>
        <v>1501.38</v>
      </c>
      <c r="AR11" s="125">
        <f>AP11/AP12</f>
        <v>0.6666666547346265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3 - 7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9</v>
      </c>
      <c r="AL12" s="123">
        <f>MIN(AL8:AL11)</f>
        <v>-4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90000010.778618306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Ivory Coast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Norway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3</v>
      </c>
      <c r="AL14" s="123">
        <f>AI14-AJ14</f>
        <v>-1</v>
      </c>
      <c r="AM14" s="123">
        <f>AL14-AL18</f>
        <v>3</v>
      </c>
      <c r="AN14" s="123">
        <f>AF14*3+AG14</f>
        <v>4</v>
      </c>
      <c r="AO14" s="123">
        <f>AN14/AN18*10+BA14</f>
        <v>4.9805825242718447</v>
      </c>
      <c r="AP14" s="123">
        <f>AO14*10000000+BI14*100+AM14/AM18*10+AI14/AI18*1++IF(AQ14=0,ROW(),AQ14)/2000000</f>
        <v>49805926.31473612</v>
      </c>
      <c r="AQ14" s="126">
        <f>VLOOKUP(AE14,db_fifarank,2,FALSE)</f>
        <v>1556.48</v>
      </c>
      <c r="AR14" s="125">
        <f>AP14/AP18</f>
        <v>0.55339911395152763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Norway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3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4</v>
      </c>
      <c r="AL15" s="123">
        <f>AI15-AJ15</f>
        <v>-1</v>
      </c>
      <c r="AM15" s="123">
        <f>AL15-AL18</f>
        <v>3</v>
      </c>
      <c r="AN15" s="123">
        <f>AF15*3+AG15</f>
        <v>4</v>
      </c>
      <c r="AO15" s="123">
        <f>AN15/AN18*10+BA15</f>
        <v>4.9805825242718447</v>
      </c>
      <c r="AP15" s="123">
        <f>AO15*10000000+BI15*100+AM15/AM18*10+AI15/AI18*1++IF(AQ15=0,ROW(),AQ15)/2000000</f>
        <v>49805926.457507938</v>
      </c>
      <c r="AQ15" s="126">
        <f>VLOOKUP(AE15,db_fifarank,2,FALSE)</f>
        <v>1385.84</v>
      </c>
      <c r="AR15" s="125">
        <f>AP15/AP18</f>
        <v>0.5533991155378809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United States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3 - 4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0.14358462285714285</v>
      </c>
      <c r="AQ16" s="126">
        <f>VLOOKUP(AE16,db_fifarank,2,FALSE)</f>
        <v>1454.96</v>
      </c>
      <c r="AR16" s="125">
        <f>AP16/AP18</f>
        <v>1.5953845043274968E-9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Norway</v>
      </c>
      <c r="CA16" s="61">
        <v>1</v>
      </c>
      <c r="CB16" s="63">
        <v>0</v>
      </c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2 - 3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0</v>
      </c>
      <c r="AL17" s="123">
        <f>AI17-AJ17</f>
        <v>6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90000009.948876649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>
        <v>1</v>
      </c>
      <c r="CC17" s="27"/>
      <c r="CD17" s="113">
        <f>IF(CD16="","",CA17*1000+CB17*10+CC17)</f>
        <v>1010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-4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90000010.948876649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Czech Republic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3</v>
      </c>
      <c r="AL20" s="123">
        <f>AI20-AJ20</f>
        <v>6</v>
      </c>
      <c r="AM20" s="123">
        <f>AL20-AL24</f>
        <v>15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90000010.27588059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2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2000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9 - 3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12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60000008.100877933</v>
      </c>
      <c r="AQ21" s="126">
        <f>VLOOKUP(AE21,db_fifarank,2,FALSE)</f>
        <v>1755.87</v>
      </c>
      <c r="AR21" s="125">
        <f>AP21/AP24</f>
        <v>0.66666667315137929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6 - 3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7.1761657675823521E-12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>
        <v>1</v>
      </c>
      <c r="BO22" s="25"/>
      <c r="BP22" s="116">
        <f>IF(OR(BM22="",BM23="",AND(BN22="",BN23&lt;&gt;""),AND(BN23="",BN22&lt;&gt;""),AND(BO22="",BO23&lt;&gt;""),AND(BO23="",BO22&lt;&gt;"")),"",BM22*1000+BN22*10+BO22)</f>
        <v>2010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6 - 6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1</v>
      </c>
      <c r="V23" s="123">
        <f t="shared" si="3"/>
        <v>2</v>
      </c>
      <c r="W23" s="123">
        <f t="shared" si="4"/>
        <v>2</v>
      </c>
      <c r="X23" s="123">
        <f t="shared" si="9"/>
        <v>1</v>
      </c>
      <c r="Y23" s="123">
        <f t="shared" si="10"/>
        <v>2</v>
      </c>
      <c r="Z23" s="123">
        <f t="shared" si="11"/>
        <v>2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6</v>
      </c>
      <c r="AJ23" s="123">
        <f>SUMIF($E$7:$E$78,$AE23,$G$7:$G$78) + SUMIF($H$7:$H$78,$AE23,$F$7:$F$78)</f>
        <v>6</v>
      </c>
      <c r="AL23" s="123">
        <f>AI23-AJ23</f>
        <v>0</v>
      </c>
      <c r="AM23" s="123">
        <f>AL23-AL24</f>
        <v>9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30000006.225749176</v>
      </c>
      <c r="AQ23" s="126">
        <f>VLOOKUP(AE23,db_fifarank,2,FALSE)</f>
        <v>1498.35</v>
      </c>
      <c r="AR23" s="125">
        <f>AP23/AP24</f>
        <v>0.33333336074580006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>
        <v>0</v>
      </c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0</v>
      </c>
      <c r="CI23" s="63">
        <v>0</v>
      </c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2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16</v>
      </c>
      <c r="AN24" s="123">
        <f>MAX(AN20:AN23)+1</f>
        <v>10</v>
      </c>
      <c r="AO24" s="123">
        <f>MAX(AO20:AO23)+1</f>
        <v>10</v>
      </c>
      <c r="AP24" s="123">
        <f>MAX(AP20:AP23)+1</f>
        <v>90000011.27588059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>
        <v>1</v>
      </c>
      <c r="CJ24" s="27"/>
      <c r="CK24" s="113">
        <f>IF(CK23="","",CH24*1000+CI24*10+CJ24)</f>
        <v>10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6</v>
      </c>
      <c r="AL26" s="123">
        <f>AI26-AJ26</f>
        <v>-2</v>
      </c>
      <c r="AM26" s="123">
        <f>AL26-AL30</f>
        <v>4</v>
      </c>
      <c r="AN26" s="123">
        <f>AF26*3+AG26</f>
        <v>3</v>
      </c>
      <c r="AO26" s="123">
        <f>AN26/AN30*10+BA26</f>
        <v>3</v>
      </c>
      <c r="AP26" s="123">
        <f>AO26*10000000+BI26*100+AM26/AM30*10+AI26/AI30*1++IF(AQ26=0,ROW(),AQ26)/2000000</f>
        <v>30000003.221615788</v>
      </c>
      <c r="AQ26" s="126">
        <f>VLOOKUP(AE26,db_fifarank,2,FALSE)</f>
        <v>1673.13</v>
      </c>
      <c r="AR26" s="125">
        <f>AP26/AP30</f>
        <v>0.33333332766386237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>
        <v>0</v>
      </c>
      <c r="BO26" s="25">
        <v>3</v>
      </c>
      <c r="BP26" s="112">
        <f>IF(OR(BM26="",BM27="",AND(BN26="",BN27&lt;&gt;""),AND(BN27="",BN26&lt;&gt;""),AND(BO26="",BO27&lt;&gt;""),AND(BO27="",BO26&lt;&gt;"")),"",BM26*1000+BN26*10+BO26)</f>
        <v>3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10 - 3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4</v>
      </c>
      <c r="AL27" s="123">
        <f>AI27-AJ27</f>
        <v>1</v>
      </c>
      <c r="AM27" s="123">
        <f>AL27-AL30</f>
        <v>7</v>
      </c>
      <c r="AN27" s="123">
        <f>AF27*3+AG27</f>
        <v>6</v>
      </c>
      <c r="AO27" s="123">
        <f>AN27/AN30*10+BA27</f>
        <v>6</v>
      </c>
      <c r="AP27" s="123">
        <f>AO27*10000000+BI27*100+AM27/AM30*10+AI27/AI30*1++IF(AQ27=0,ROW(),AQ27)/2000000</f>
        <v>60000005.455297202</v>
      </c>
      <c r="AQ27" s="126">
        <f>VLOOKUP(AE27,db_fifarank,2,FALSE)</f>
        <v>1503.5</v>
      </c>
      <c r="AR27" s="125">
        <f>AP27/AP30</f>
        <v>0.66666664435067757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0</v>
      </c>
      <c r="BN27" s="64">
        <v>0</v>
      </c>
      <c r="BO27" s="27">
        <v>2</v>
      </c>
      <c r="BP27" s="113">
        <f>IF(BP26="","",BM27*1000+BN27*10+BO27)</f>
        <v>2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3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5 - 4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7</v>
      </c>
      <c r="AL28" s="123">
        <f>AI28-AJ28</f>
        <v>-6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9.1699425909090915E-2</v>
      </c>
      <c r="AQ28" s="126">
        <f>VLOOKUP(AE28,db_fifarank,2,FALSE)</f>
        <v>1580.67</v>
      </c>
      <c r="AR28" s="125">
        <f>AP28/AP30</f>
        <v>1.0188823833565167E-9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>
        <v>0</v>
      </c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1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4 - 6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10</v>
      </c>
      <c r="AJ29" s="123">
        <f>SUMIF($E$7:$E$78,$AE29,$G$7:$G$78) + SUMIF($H$7:$H$78,$AE29,$F$7:$F$78)</f>
        <v>3</v>
      </c>
      <c r="AL29" s="123">
        <f>AI29-AJ29</f>
        <v>7</v>
      </c>
      <c r="AM29" s="123">
        <f>AL29-AL30</f>
        <v>13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90000010.195604712</v>
      </c>
      <c r="AQ29" s="126">
        <f>VLOOKUP(AE29,db_fifarank,2,FALSE)</f>
        <v>1599.04</v>
      </c>
      <c r="AR29" s="125">
        <f>AP29/AP30</f>
        <v>0.9999999888888903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1</v>
      </c>
      <c r="BU29" s="64">
        <v>1</v>
      </c>
      <c r="BV29" s="27"/>
      <c r="BW29" s="113">
        <f>IF(BW28="","",BT29*1000+BU29*10+BV29)</f>
        <v>1010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1 - 7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11</v>
      </c>
      <c r="AL30" s="123">
        <f>MIN(AL26:AL29)</f>
        <v>-6</v>
      </c>
      <c r="AM30" s="123">
        <f>MAX(AM26:AM29)+1</f>
        <v>14</v>
      </c>
      <c r="AN30" s="123">
        <f>MAX(AN26:AN29)+1</f>
        <v>10</v>
      </c>
      <c r="AO30" s="123">
        <f>MAX(AO26:AO29)+1</f>
        <v>10</v>
      </c>
      <c r="AP30" s="123">
        <f>MAX(AP26:AP29)+1</f>
        <v>90000011.195604712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5</v>
      </c>
      <c r="AL32" s="123">
        <f>AI32-AJ32</f>
        <v>2</v>
      </c>
      <c r="AM32" s="123">
        <f>AL32-AL36</f>
        <v>9</v>
      </c>
      <c r="AN32" s="123">
        <f>AF32*3+AG32</f>
        <v>6</v>
      </c>
      <c r="AO32" s="123">
        <f>AN32/AN36*10+BA32</f>
        <v>6</v>
      </c>
      <c r="AP32" s="123">
        <f>AO32*10000000+BI32*100+AM32/AM36*10+AI32/AI36*1++IF(AQ32=0,ROW(),AQ32)/2000000</f>
        <v>60000007.70171988</v>
      </c>
      <c r="AQ32" s="126">
        <f>VLOOKUP(AE32,db_fifarank,2,FALSE)</f>
        <v>1730.37</v>
      </c>
      <c r="AR32" s="125">
        <f>AP32/AP36</f>
        <v>0.66666666986781598</v>
      </c>
      <c r="AS32" s="125" t="str">
        <f>IF(SUM(AF32:AH35)=12,J33,"1E")</f>
        <v>Ivory Coast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Ivory Coast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8 - 3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7.1924991112928432E-12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7 - 5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1</v>
      </c>
      <c r="AE34" s="124" t="str">
        <f>VLOOKUP("Ivory Coast",T,lang,FALSE)</f>
        <v>Ivory Coast</v>
      </c>
      <c r="AF34" s="123">
        <f>COUNTIF($S$7:$T$78,"=" &amp; AE34 &amp; "_win")</f>
        <v>3</v>
      </c>
      <c r="AG34" s="123">
        <f>COUNTIF($S$7:$T$78,"=" &amp; AE34 &amp; "_draw")</f>
        <v>0</v>
      </c>
      <c r="AH34" s="123">
        <f>COUNTIF($S$7:$T$78,"=" &amp; AE34 &amp; "_lose")</f>
        <v>0</v>
      </c>
      <c r="AI34" s="123">
        <f>SUMIF($E$7:$E$78,$AE34,$F$7:$F$78) + SUMIF($H$7:$H$78,$AE34,$G$7:$G$78)</f>
        <v>8</v>
      </c>
      <c r="AJ34" s="123">
        <f>SUMIF($E$7:$E$78,$AE34,$G$7:$G$78) + SUMIF($H$7:$H$78,$AE34,$F$7:$F$78)</f>
        <v>3</v>
      </c>
      <c r="AL34" s="123">
        <f>AI34-AJ34</f>
        <v>5</v>
      </c>
      <c r="AM34" s="123">
        <f>AL34-AL36</f>
        <v>12</v>
      </c>
      <c r="AN34" s="123">
        <f>AF34*3+AG34</f>
        <v>9</v>
      </c>
      <c r="AO34" s="123">
        <f>AN34/AN36*10+BA34</f>
        <v>9</v>
      </c>
      <c r="AP34" s="123">
        <f>AO34*10000000+BI34*100+AM34/AM36*10+AI34/AI36*1++IF(AQ34=0,ROW(),AQ34)/2000000</f>
        <v>90000010.120424613</v>
      </c>
      <c r="AQ34" s="126">
        <f>VLOOKUP(AE34,db_fifarank,2,FALSE)</f>
        <v>1532.98</v>
      </c>
      <c r="AR34" s="125">
        <f>AP34/AP36</f>
        <v>0.9999999888888903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6 - 6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6</v>
      </c>
      <c r="AL35" s="123">
        <f>AI35-AJ35</f>
        <v>0</v>
      </c>
      <c r="AM35" s="123">
        <f>AL35-AL36</f>
        <v>7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30000006.052079443</v>
      </c>
      <c r="AQ35" s="126">
        <f>VLOOKUP(AE35,db_fifarank,2,FALSE)</f>
        <v>1594.78</v>
      </c>
      <c r="AR35" s="125">
        <f>AP35/AP36</f>
        <v>0.33333335939189945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9</v>
      </c>
      <c r="AL36" s="123">
        <f>MIN(AL32:AL35)</f>
        <v>-7</v>
      </c>
      <c r="AM36" s="123">
        <f>MAX(AM32:AM35)+1</f>
        <v>13</v>
      </c>
      <c r="AN36" s="123">
        <f>MAX(AN32:AN35)+1</f>
        <v>10</v>
      </c>
      <c r="AO36" s="123">
        <f>MAX(AO32:AO35)+1</f>
        <v>10</v>
      </c>
      <c r="AP36" s="123">
        <f>MAX(AP32:AP35)+1</f>
        <v>90000011.120424613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>
        <v>0</v>
      </c>
      <c r="CQ37" s="25">
        <v>5</v>
      </c>
      <c r="CR37" s="111">
        <f>IF(OR(CO37="",CO38="",AND(CP37="",CP38&lt;&gt;""),AND(CP38="",CP37&lt;&gt;""),AND(CQ37="",CQ38&lt;&gt;""),AND(CQ38="",CQ37&lt;&gt;"")),"",CO37*1000+CP37*10+CQ37)</f>
        <v>2005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3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5</v>
      </c>
      <c r="AL38" s="123">
        <f>AI38-AJ38</f>
        <v>4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90000009.789767832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4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4000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2</v>
      </c>
      <c r="CP38" s="64">
        <v>0</v>
      </c>
      <c r="CQ38" s="27">
        <v>3</v>
      </c>
      <c r="CR38" s="111">
        <f>IF(CR37="","",CO38*1000+CP38*10+CQ38)</f>
        <v>2003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3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9 - 5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Germany_lose</v>
      </c>
      <c r="T39" s="127" t="str">
        <f t="shared" si="2"/>
        <v>Ivory Coast_win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-1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6</v>
      </c>
      <c r="AL39" s="123">
        <f>AI39-AJ39</f>
        <v>-4</v>
      </c>
      <c r="AM39" s="123">
        <f>AL39-AL42</f>
        <v>0</v>
      </c>
      <c r="AN39" s="123">
        <f>AF39*3+AG39</f>
        <v>1</v>
      </c>
      <c r="AO39" s="123">
        <f>AN39/AN42*10+BA39</f>
        <v>1</v>
      </c>
      <c r="AP39" s="123">
        <f>AO39*10000000+BI39*100+AM39/AM42*10+AI39/AI42*1++IF(AQ39=0,ROW(),AQ39)/2000000</f>
        <v>10000000.200830214</v>
      </c>
      <c r="AQ39" s="126">
        <f>VLOOKUP(AE39,db_fifarank,2,FALSE)</f>
        <v>1660.43</v>
      </c>
      <c r="AR39" s="125">
        <f>AP39/AP42</f>
        <v>0.11111110002185823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South Africa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4</v>
      </c>
      <c r="AL40" s="123">
        <f>AI40-AJ40</f>
        <v>1</v>
      </c>
      <c r="AM40" s="123">
        <f>AL40-AL42</f>
        <v>5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40000006.056312934</v>
      </c>
      <c r="AQ40" s="126">
        <f>VLOOKUP(AE40,db_fifarank,2,FALSE)</f>
        <v>1514.77</v>
      </c>
      <c r="AR40" s="125">
        <f>AP40/AP42</f>
        <v>0.4444444584540046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2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5</v>
      </c>
      <c r="AL41" s="123">
        <f>AI41-AJ41</f>
        <v>-1</v>
      </c>
      <c r="AM41" s="123">
        <f>AL41-AL42</f>
        <v>3</v>
      </c>
      <c r="AN41" s="123">
        <f>AF41*3+AG41</f>
        <v>2</v>
      </c>
      <c r="AO41" s="123">
        <f>AN41/AN42*10+BA41</f>
        <v>2</v>
      </c>
      <c r="AP41" s="123">
        <f>AO41*10000000+BI41*100+AM41/AM42*10+AI41/AI42*1++IF(AQ41=0,ROW(),AQ41)/2000000</f>
        <v>20000003.734074857</v>
      </c>
      <c r="AQ41" s="126">
        <f>VLOOKUP(AE41,db_fifarank,2,FALSE)</f>
        <v>1483.05</v>
      </c>
      <c r="AR41" s="125">
        <f>AP41/AP42</f>
        <v>0.22222223707053904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2 - 6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10</v>
      </c>
      <c r="AL42" s="123">
        <f>MIN(AL38:AL41)</f>
        <v>-4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90000010.789767832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>
        <v>0</v>
      </c>
      <c r="BO42" s="25">
        <v>5</v>
      </c>
      <c r="BP42" s="112">
        <f>IF(OR(BM42="",BM43="",AND(BN42="",BN43&lt;&gt;""),AND(BN43="",BN42&lt;&gt;""),AND(BO42="",BO43&lt;&gt;""),AND(BO43="",BO42&lt;&gt;"")),"",BM42*1000+BN42*10+BO42)</f>
        <v>1005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1</v>
      </c>
      <c r="BN43" s="64">
        <v>0</v>
      </c>
      <c r="BO43" s="27">
        <v>3</v>
      </c>
      <c r="BP43" s="113">
        <f>IF(BP42="","",BM43*1000+BN43*10+BO43)</f>
        <v>1003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4</v>
      </c>
      <c r="AL44" s="123">
        <f>AI44-AJ44</f>
        <v>4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90000009.889756247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8 - 4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8</v>
      </c>
      <c r="AJ45" s="123">
        <f>SUMIF($E$7:$E$78,$AE45,$G$7:$G$78) + SUMIF($H$7:$H$78,$AE45,$F$7:$F$78)</f>
        <v>6</v>
      </c>
      <c r="AL45" s="123">
        <f>AI45-AJ45</f>
        <v>2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60000007.889670506</v>
      </c>
      <c r="AQ45" s="126">
        <f>VLOOKUP(AE45,db_fifarank,2,FALSE)</f>
        <v>1563.24</v>
      </c>
      <c r="AR45" s="125">
        <f>AP45/AP48</f>
        <v>0.66666667366481036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France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8 - 6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5</v>
      </c>
      <c r="AJ46" s="123">
        <f>SUMIF($E$7:$E$78,$AE46,$G$7:$G$78) + SUMIF($H$7:$H$78,$AE46,$F$7:$F$78)</f>
        <v>6</v>
      </c>
      <c r="AL46" s="123">
        <f>AI46-AJ46</f>
        <v>-1</v>
      </c>
      <c r="AM46" s="123">
        <f>AL46-AL48</f>
        <v>4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30000004.556363206</v>
      </c>
      <c r="AQ46" s="126">
        <f>VLOOKUP(AE46,db_fifarank,2,FALSE)</f>
        <v>1615.3</v>
      </c>
      <c r="AR46" s="125">
        <f>AP46/AP48</f>
        <v>0.33333334362715938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Germany</v>
      </c>
      <c r="BM46" s="61">
        <v>0</v>
      </c>
      <c r="BN46" s="63">
        <v>1</v>
      </c>
      <c r="BO46" s="25">
        <v>4</v>
      </c>
      <c r="BP46" s="116">
        <f>IF(OR(BM46="",BM47="",AND(BN46="",BN47&lt;&gt;""),AND(BN47="",BN46&lt;&gt;""),AND(BO46="",BO47&lt;&gt;""),AND(BO47="",BO46&lt;&gt;"")),"",BM46*1000+BN46*10+BO46)</f>
        <v>14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3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5 - 6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3</v>
      </c>
      <c r="W47" s="123">
        <f t="shared" ref="W47:W78" si="22">U47*G47</f>
        <v>3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8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0.33397411833333329</v>
      </c>
      <c r="AQ47" s="126">
        <f>VLOOKUP(AE47,db_fifarank,2,FALSE)</f>
        <v>1281.57</v>
      </c>
      <c r="AR47" s="125">
        <f>AP47/AP48</f>
        <v>3.710823088037493E-9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France</v>
      </c>
      <c r="BM47" s="62">
        <v>0</v>
      </c>
      <c r="BN47" s="64">
        <v>1</v>
      </c>
      <c r="BO47" s="27">
        <v>5</v>
      </c>
      <c r="BP47" s="112">
        <f>IF(BP46="","",BM47*1000+BN47*10+BO47)</f>
        <v>15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3 - 8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9</v>
      </c>
      <c r="AL48" s="123">
        <f>MIN(AL44:AL47)</f>
        <v>-5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90000010.889756247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31">
        <v>103</v>
      </c>
      <c r="CN48" s="24" t="str">
        <f>IF(CK23&gt;CK24,CG24,IF(CK23&lt;CK24,CG23,""))</f>
        <v>Netherlands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Argentina</v>
      </c>
      <c r="CO49" s="62">
        <v>3</v>
      </c>
      <c r="CP49" s="64"/>
      <c r="CQ49" s="27"/>
      <c r="CR49" s="111">
        <f>IF(CR48="","",CO49*1000+CP49*10+CQ49)</f>
        <v>3000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2</v>
      </c>
      <c r="AL50" s="123">
        <f>AI50-AJ50</f>
        <v>9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90000010.292604879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3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19804019.691859536</v>
      </c>
      <c r="AQ51" s="126">
        <f>VLOOKUP(AE51,db_fifarank,2,FALSE)</f>
        <v>1366.13</v>
      </c>
      <c r="AR51" s="125">
        <f>AP51/AP54</f>
        <v>0.22004463563313789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Ecuador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2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8 - 5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6</v>
      </c>
      <c r="AL52" s="123">
        <f>AI52-AJ52</f>
        <v>-6</v>
      </c>
      <c r="AM52" s="123">
        <f>AL52-AL54</f>
        <v>0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19804019.608553853</v>
      </c>
      <c r="AQ52" s="126">
        <f>VLOOKUP(AE52,db_fifarank,2,FALSE)</f>
        <v>1421.43</v>
      </c>
      <c r="AR52" s="125">
        <f>AP52/AP54</f>
        <v>0.22004463470751931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1 - 7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5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60000006.2925032</v>
      </c>
      <c r="AQ53" s="126">
        <f>VLOOKUP(AE53,db_fifarank,2,FALSE)</f>
        <v>1673.07</v>
      </c>
      <c r="AR53" s="125">
        <f>AP53/AP54</f>
        <v>0.6666666529344456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Senegal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0 - 6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12</v>
      </c>
      <c r="AL54" s="123">
        <f>MIN(AL50:AL53)</f>
        <v>-6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90000011.292604879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Croatia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2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3</v>
      </c>
      <c r="BN55" s="64"/>
      <c r="BO55" s="27"/>
      <c r="BP55" s="112">
        <f>IF(BP54="","",BM55*1000+BN55*10+BO55)</f>
        <v>3000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2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6</v>
      </c>
      <c r="AL56" s="123">
        <f>AI56-AJ56</f>
        <v>3</v>
      </c>
      <c r="AM56" s="123">
        <f>AL56-AL60</f>
        <v>11</v>
      </c>
      <c r="AN56" s="123">
        <f>AF56*3+AG56</f>
        <v>5</v>
      </c>
      <c r="AO56" s="123">
        <f>AN56/AN60*10+BA56</f>
        <v>9.3166550845494562</v>
      </c>
      <c r="AP56" s="123">
        <f>AO56*10000000+BI56*100+AM56/AM60*10+AI56/AI60*1++IF(AQ56=0,ROW(),AQ56)/2000000</f>
        <v>93166658.895797834</v>
      </c>
      <c r="AQ56" s="126">
        <f>VLOOKUP(AE56,db_fifarank,2,FALSE)</f>
        <v>1877.32</v>
      </c>
      <c r="AR56" s="125">
        <f>AP56/AP60</f>
        <v>0.99977733039129113</v>
      </c>
      <c r="AS56" s="125" t="str">
        <f>IF(SUM(AF56:AH59)=12,J57,"1I")</f>
        <v>Norway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2</v>
      </c>
      <c r="AV56" s="126" cm="1">
        <f t="array" ref="AV56">SUMPRODUCT(($E$7:$E$78=AE56)*($U$7:$U$78)*($F$7:$F$78))+SUMPRODUCT(($H$7:$H$78=AE56)*($U$7:$U$78)*($G$7:$G$78))</f>
        <v>5</v>
      </c>
      <c r="AW56" s="126" cm="1">
        <f t="array" ref="AW56">SUMPRODUCT(($E$7:$E$78=AE56)*($U$7:$U$78)*($G$7:$G$78))+SUMPRODUCT(($H$7:$H$78=AE56)*($U$7:$U$78)*($F$7:$F$78))</f>
        <v>5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67.380952380952365</v>
      </c>
      <c r="BA56" s="126">
        <f>AZ56/AZ60</f>
        <v>0.9833217512161222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3</v>
      </c>
      <c r="L57" s="31">
        <f>VLOOKUP(1,AD56:AN59,3,FALSE)</f>
        <v>1</v>
      </c>
      <c r="M57" s="31">
        <f>VLOOKUP(1,AD56:AN59,4,FALSE)</f>
        <v>2</v>
      </c>
      <c r="N57" s="31">
        <f>VLOOKUP(1,AD56:AN59,5,FALSE)</f>
        <v>0</v>
      </c>
      <c r="O57" s="31" t="str">
        <f>VLOOKUP(1,AD56:AN59,6,FALSE) &amp; " - " &amp; VLOOKUP(1,AD56:AN59,7,FALSE)</f>
        <v>10 - 8</v>
      </c>
      <c r="P57" s="32">
        <f>L57*3+M57</f>
        <v>5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2</v>
      </c>
      <c r="AH57" s="123">
        <f>COUNTIF($S$7:$T$78,"=" &amp; AE57 &amp; "_lose")</f>
        <v>0</v>
      </c>
      <c r="AI57" s="123">
        <f>SUMIF($E$7:$E$78,$AE57,$F$7:$F$78) + SUMIF($H$7:$H$78,$AE57,$G$7:$G$78)</f>
        <v>8</v>
      </c>
      <c r="AJ57" s="123">
        <f>SUMIF($E$7:$E$78,$AE57,$G$7:$G$78) + SUMIF($H$7:$H$78,$AE57,$F$7:$F$78)</f>
        <v>5</v>
      </c>
      <c r="AL57" s="123">
        <f>AI57-AJ57</f>
        <v>3</v>
      </c>
      <c r="AM57" s="123">
        <f>AL57-AL60</f>
        <v>11</v>
      </c>
      <c r="AN57" s="123">
        <f>AF57*3+AG57</f>
        <v>5</v>
      </c>
      <c r="AO57" s="123">
        <f>AN57/AN60*10+BA57</f>
        <v>9.3166550845494562</v>
      </c>
      <c r="AP57" s="123">
        <f>AO57*10000000+BI57*100+AM57/AM60*10+AI57/AI60*1++IF(AQ57=0,ROW(),AQ57)/2000000</f>
        <v>93166658.804794595</v>
      </c>
      <c r="AQ57" s="126">
        <f>VLOOKUP(AE57,db_fifarank,2,FALSE)</f>
        <v>1688.99</v>
      </c>
      <c r="AR57" s="125">
        <f>AP57/AP60</f>
        <v>0.99977732941472963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2</v>
      </c>
      <c r="AV57" s="126" cm="1">
        <f t="array" ref="AV57">SUMPRODUCT(($E$7:$E$78=AE57)*($U$7:$U$78)*($F$7:$F$78))+SUMPRODUCT(($H$7:$H$78=AE57)*($U$7:$U$78)*($G$7:$G$78))</f>
        <v>5</v>
      </c>
      <c r="AW57" s="126" cm="1">
        <f t="array" ref="AW57">SUMPRODUCT(($E$7:$E$78=AE57)*($U$7:$U$78)*($G$7:$G$78))+SUMPRODUCT(($H$7:$H$78=AE57)*($U$7:$U$78)*($F$7:$F$78))</f>
        <v>5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67.380952380952365</v>
      </c>
      <c r="BA57" s="126">
        <f>AZ57/AZ60</f>
        <v>0.9833217512161222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9 - 6</v>
      </c>
      <c r="P58" s="34">
        <f>L58*3+M58</f>
        <v>5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11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0.27345084272727271</v>
      </c>
      <c r="AQ58" s="126">
        <f>VLOOKUP(AE58,db_fifarank,2,FALSE)</f>
        <v>1447.14</v>
      </c>
      <c r="AR58" s="125">
        <f>AP58/AP60</f>
        <v>2.9344183506772982E-9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>
        <v>1</v>
      </c>
      <c r="BO58" s="25"/>
      <c r="BP58" s="112">
        <f>IF(OR(BM58="",BM59="",AND(BN58="",BN59&lt;&gt;""),AND(BN59="",BN58&lt;&gt;""),AND(BO58="",BO59&lt;&gt;""),AND(BO59="",BO58&lt;&gt;"")),"",BM58*1000+BN58*10+BO58)</f>
        <v>2010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2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2</v>
      </c>
      <c r="N59" s="23">
        <f>VLOOKUP(3,AD56:AN59,5,FALSE)</f>
        <v>0</v>
      </c>
      <c r="O59" s="23" t="str">
        <f>VLOOKUP(3,AD56:AN59,6,FALSE) &amp; " - " &amp; VLOOKUP(3,AD56:AN59,7,FALSE)</f>
        <v>8 - 5</v>
      </c>
      <c r="P59" s="34">
        <f>L59*3+M59</f>
        <v>5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10</v>
      </c>
      <c r="AJ59" s="123">
        <f>SUMIF($E$7:$E$78,$AE59,$G$7:$G$78) + SUMIF($H$7:$H$78,$AE59,$F$7:$F$78)</f>
        <v>8</v>
      </c>
      <c r="AL59" s="123">
        <f>AI59-AJ59</f>
        <v>2</v>
      </c>
      <c r="AM59" s="123">
        <f>AL59-AL60</f>
        <v>10</v>
      </c>
      <c r="AN59" s="123">
        <f>AF59*3+AG59</f>
        <v>5</v>
      </c>
      <c r="AO59" s="123">
        <f>AN59/AN60*10+BA59</f>
        <v>9.3187398656474407</v>
      </c>
      <c r="AP59" s="123">
        <f>AO59*10000000+BI59*100+AM59/AM60*10+AI59/AI60*1++IF(AQ59=0,ROW(),AQ59)/2000000</f>
        <v>93187407.899674118</v>
      </c>
      <c r="AQ59" s="126">
        <f>VLOOKUP(AE59,db_fifarank,2,FALSE)</f>
        <v>1550.94</v>
      </c>
      <c r="AR59" s="125">
        <f>AP59/AP60</f>
        <v>0.99999998926893652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2</v>
      </c>
      <c r="AV59" s="126" cm="1">
        <f t="array" ref="AV59">SUMPRODUCT(($E$7:$E$78=AE59)*($U$7:$U$78)*($F$7:$F$78))+SUMPRODUCT(($H$7:$H$78=AE59)*($U$7:$U$78)*($G$7:$G$78))</f>
        <v>6</v>
      </c>
      <c r="AW59" s="126" cm="1">
        <f t="array" ref="AW59">SUMPRODUCT(($E$7:$E$78=AE59)*($U$7:$U$78)*($G$7:$G$78))+SUMPRODUCT(($H$7:$H$78=AE59)*($U$7:$U$78)*($F$7:$F$78))</f>
        <v>6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67.523809523809518</v>
      </c>
      <c r="BA59" s="126">
        <f>AZ59/AZ60</f>
        <v>0.98540653231410702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2</v>
      </c>
      <c r="BN59" s="64">
        <v>0</v>
      </c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3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3 - 11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2</v>
      </c>
      <c r="AG60" s="123">
        <f t="shared" si="27"/>
        <v>3</v>
      </c>
      <c r="AH60" s="123">
        <f t="shared" si="27"/>
        <v>4</v>
      </c>
      <c r="AI60" s="123">
        <f>MAX(AI56:AI59)+1</f>
        <v>11</v>
      </c>
      <c r="AL60" s="123">
        <f>MIN(AL56:AL59)</f>
        <v>-8</v>
      </c>
      <c r="AM60" s="123">
        <f>MAX(AM56:AM59)+1</f>
        <v>12</v>
      </c>
      <c r="AN60" s="123">
        <f>MAX(AN56:AN59)+1</f>
        <v>6</v>
      </c>
      <c r="AO60" s="123">
        <f>MAX(AO56:AO59)+1</f>
        <v>10.318739865647441</v>
      </c>
      <c r="AP60" s="123">
        <f>MAX(AP56:AP59)+1</f>
        <v>93187408.899674118</v>
      </c>
      <c r="AT60" s="126">
        <f>MAX(AT56:AT59)-MIN(AT56:AT59)+1</f>
        <v>1</v>
      </c>
      <c r="AU60" s="126">
        <f>MAX(AU56:AU59)-MIN(AU56:AU59)+1</f>
        <v>3</v>
      </c>
      <c r="AV60" s="126">
        <f>MAX(AV56:AV59)-MIN(AV56:AV59)+1</f>
        <v>7</v>
      </c>
      <c r="AW60" s="126">
        <f>MAX(AW56:AW59)-MIN(AW56:AW59)+1</f>
        <v>7</v>
      </c>
      <c r="AY60" s="126">
        <f>MAX(AY56:AY59)-MIN(AY56:AY59)+1</f>
        <v>1</v>
      </c>
      <c r="AZ60" s="126">
        <f>MAX(AZ56:AZ59)+1</f>
        <v>68.523809523809518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Egypt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2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2</v>
      </c>
      <c r="AL62" s="123">
        <f>AI62-AJ62</f>
        <v>6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90000009.889826313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0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7</v>
      </c>
      <c r="AL63" s="123">
        <f>AI63-AJ63</f>
        <v>-3</v>
      </c>
      <c r="AM63" s="123">
        <f>AL63-AL66</f>
        <v>0</v>
      </c>
      <c r="AN63" s="123">
        <f>AF63*3+AG63</f>
        <v>1</v>
      </c>
      <c r="AO63" s="123">
        <f>AN63/AN66*10+BA63</f>
        <v>1</v>
      </c>
      <c r="AP63" s="123">
        <f>AO63*10000000+BI63*100+AM63/AM66*10+AI63/AI66*1++IF(AQ63=0,ROW(),AQ63)/2000000</f>
        <v>10000000.445226574</v>
      </c>
      <c r="AQ63" s="126">
        <f>VLOOKUP(AE63,db_fifarank,2,FALSE)</f>
        <v>1564.26</v>
      </c>
      <c r="AR63" s="125">
        <f>AP63/AP66</f>
        <v>0.11111110261384406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2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3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40000003.334130064</v>
      </c>
      <c r="AQ64" s="126">
        <f>VLOOKUP(AE64,db_fifarank,2,FALSE)</f>
        <v>1593.45</v>
      </c>
      <c r="AR64" s="125">
        <f>AP64/AP66</f>
        <v>0.44444442771341602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4</v>
      </c>
      <c r="G65" s="20">
        <v>1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2 - 5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5</v>
      </c>
      <c r="AL65" s="123">
        <f>AI65-AJ65</f>
        <v>-3</v>
      </c>
      <c r="AM65" s="123">
        <f>AL65-AL66</f>
        <v>0</v>
      </c>
      <c r="AN65" s="123">
        <f>AF65*3+AG65</f>
        <v>2</v>
      </c>
      <c r="AO65" s="123">
        <f>AN65/AN66*10+BA65</f>
        <v>2</v>
      </c>
      <c r="AP65" s="123">
        <f>AO65*10000000+BI65*100+AM65/AM66*10+AI65/AI66*1++IF(AQ65=0,ROW(),AQ65)/2000000</f>
        <v>20000000.222917948</v>
      </c>
      <c r="AQ65" s="126">
        <f>VLOOKUP(AE65,db_fifarank,2,FALSE)</f>
        <v>1391.45</v>
      </c>
      <c r="AR65" s="125">
        <f>AP65/AP66</f>
        <v>0.22222219781063124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4 - 7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9</v>
      </c>
      <c r="AL66" s="123">
        <f>MIN(AL62:AL65)</f>
        <v>-3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90000010.889826313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3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3</v>
      </c>
      <c r="W67" s="123">
        <f t="shared" si="22"/>
        <v>3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4</v>
      </c>
      <c r="AL68" s="123">
        <f>AI68-AJ68</f>
        <v>3</v>
      </c>
      <c r="AM68" s="123">
        <f>AL68-AL72</f>
        <v>7</v>
      </c>
      <c r="AN68" s="123">
        <f>AF68*3+AG68</f>
        <v>7</v>
      </c>
      <c r="AO68" s="123">
        <f>AN68/AN72*10+BA68</f>
        <v>9.7401639344262296</v>
      </c>
      <c r="AP68" s="123">
        <f>AO68*10000000+BI68*100+AM68/AM72*10+AI68/AI72*1++IF(AQ68=0,ROW(),AQ68)/2000000</f>
        <v>97401747.98653765</v>
      </c>
      <c r="AQ68" s="126">
        <f>VLOOKUP(AE68,db_fifarank,2,FALSE)</f>
        <v>1763.83</v>
      </c>
      <c r="AR68" s="125">
        <f>AP68/AP72</f>
        <v>0.99999998973324389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100.66666666666667</v>
      </c>
      <c r="BA68" s="126">
        <f>AZ68/AZ72</f>
        <v>0.99016393442622952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100.66666666666667</v>
      </c>
      <c r="BI68" s="126">
        <f>BH68/BH72</f>
        <v>0.99016393442622952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3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7 - 4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4</v>
      </c>
      <c r="AL69" s="123">
        <f>AI69-AJ69</f>
        <v>-2</v>
      </c>
      <c r="AM69" s="123">
        <f>AL69-AL72</f>
        <v>2</v>
      </c>
      <c r="AN69" s="123">
        <f>AF69*3+AG69</f>
        <v>1</v>
      </c>
      <c r="AO69" s="123">
        <f>AN69/AN72*10+BA69</f>
        <v>2.2336065573770494</v>
      </c>
      <c r="AP69" s="123">
        <f>AO69*10000000+BI69*100+AM69/AM72*10+AI69/AI72*1++IF(AQ69=0,ROW(),AQ69)/2000000</f>
        <v>22336166.685165405</v>
      </c>
      <c r="AQ69" s="126">
        <f>VLOOKUP(AE69,db_fifarank,2,FALSE)</f>
        <v>1478.35</v>
      </c>
      <c r="AR69" s="125">
        <f>AP69/AP72</f>
        <v>0.22931997543753133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0.98360655737704916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0.98360655737704916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6 - 3</v>
      </c>
      <c r="P70" s="34">
        <f>L70*3+M70</f>
        <v>7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2.2336065573770494</v>
      </c>
      <c r="AP70" s="123">
        <f>AO70*10000000+BI70*100+AM70/AM72*10+AI70/AI72*1++IF(AQ70=0,ROW(),AQ70)/2000000</f>
        <v>22336164.060158901</v>
      </c>
      <c r="AQ70" s="126">
        <f>VLOOKUP(AE70,db_fifarank,2,FALSE)</f>
        <v>1465.34</v>
      </c>
      <c r="AR70" s="125">
        <f>AP70/AP72</f>
        <v>0.22931994848722981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0.98360655737704916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0.98360655737704916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2 - 4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3</v>
      </c>
      <c r="AL71" s="123">
        <f>AI71-AJ71</f>
        <v>3</v>
      </c>
      <c r="AM71" s="123">
        <f>AL71-AL72</f>
        <v>7</v>
      </c>
      <c r="AN71" s="123">
        <f>AF71*3+AG71</f>
        <v>7</v>
      </c>
      <c r="AO71" s="123">
        <f>AN71/AN72*10+BA71</f>
        <v>9.7401639344262296</v>
      </c>
      <c r="AP71" s="123">
        <f>AO71*10000000+BI71*100+AM71/AM72*10+AI71/AI72*1++IF(AQ71=0,ROW(),AQ71)/2000000</f>
        <v>97401747.86150229</v>
      </c>
      <c r="AQ71" s="126">
        <f>VLOOKUP(AE71,db_fifarank,2,FALSE)</f>
        <v>1693.09</v>
      </c>
      <c r="AR71" s="125">
        <f>AP71/AP72</f>
        <v>0.9999999884495363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100.66666666666667</v>
      </c>
      <c r="BA71" s="126">
        <f>AZ71/AZ72</f>
        <v>0.99016393442622952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100.66666666666667</v>
      </c>
      <c r="BI71" s="126">
        <f>BH71/BH72</f>
        <v>0.99016393442622952</v>
      </c>
      <c r="BK71" s="132"/>
      <c r="BL71" s="26" t="str">
        <f>IF(group_round_completed,VLOOKUP('3rd places'!J3,AK80:AS91,9,FALSE),"3rd Group D/E/I/J/L")</f>
        <v>England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4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-4</v>
      </c>
      <c r="AM72" s="123">
        <f>MAX(AM68:AM71)+1</f>
        <v>8</v>
      </c>
      <c r="AN72" s="123">
        <f>MAX(AN68:AN71)+1</f>
        <v>8</v>
      </c>
      <c r="AO72" s="123">
        <f>MAX(AO68:AO71)+1</f>
        <v>10.74016393442623</v>
      </c>
      <c r="AP72" s="123">
        <f>MAX(AP68:AP71)+1</f>
        <v>97401748.98653765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101.66666666666667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101.66666666666667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Panama_draw</v>
      </c>
      <c r="T73" s="127" t="str">
        <f t="shared" si="20"/>
        <v>England_draw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0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3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3</v>
      </c>
      <c r="AE74" s="124" t="str">
        <f>VLOOKUP("England",T,lang,FALSE)</f>
        <v>England</v>
      </c>
      <c r="AF74" s="123">
        <f>COUNTIF($S$7:$T$78,"=" &amp; AE74 &amp; "_win")</f>
        <v>0</v>
      </c>
      <c r="AG74" s="123">
        <f>COUNTIF($S$7:$T$78,"=" &amp; AE74 &amp; "_draw")</f>
        <v>2</v>
      </c>
      <c r="AH74" s="123">
        <f>COUNTIF($S$7:$T$78,"=" &amp; AE74 &amp; "_lose")</f>
        <v>1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7</v>
      </c>
      <c r="AL74" s="123">
        <f>AI74-AJ74</f>
        <v>-1</v>
      </c>
      <c r="AM74" s="123">
        <f>AL74-AL78</f>
        <v>1</v>
      </c>
      <c r="AN74" s="123">
        <f>AF74*3+AG74</f>
        <v>2</v>
      </c>
      <c r="AO74" s="123">
        <f>AN74/AN78*10+BA74</f>
        <v>2</v>
      </c>
      <c r="AP74" s="123">
        <f>AO74*10000000+BI74*100+AM74/AM78*10+AI74/AI78*1++IF(AQ74=0,ROW(),AQ74)/2000000</f>
        <v>20000002.029484417</v>
      </c>
      <c r="AQ74" s="126">
        <f>VLOOKUP(AE74,db_fifarank,2,FALSE)</f>
        <v>1825.97</v>
      </c>
      <c r="AR74" s="125">
        <f>AP74/AP78</f>
        <v>0.22222221891455043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9 - 5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3</v>
      </c>
      <c r="AG75" s="123">
        <f>COUNTIF($S$7:$T$78,"=" &amp; AE75 &amp; "_draw")</f>
        <v>0</v>
      </c>
      <c r="AH75" s="123">
        <f>COUNTIF($S$7:$T$78,"=" &amp; AE75 &amp; "_lose")</f>
        <v>0</v>
      </c>
      <c r="AI75" s="123">
        <f>SUMIF($E$7:$E$78,$AE75,$F$7:$F$78) + SUMIF($H$7:$H$78,$AE75,$G$7:$G$78)</f>
        <v>9</v>
      </c>
      <c r="AJ75" s="123">
        <f>SUMIF($E$7:$E$78,$AE75,$G$7:$G$78) + SUMIF($H$7:$H$78,$AE75,$F$7:$F$78)</f>
        <v>5</v>
      </c>
      <c r="AL75" s="123">
        <f>AI75-AJ75</f>
        <v>4</v>
      </c>
      <c r="AM75" s="123">
        <f>AL75-AL78</f>
        <v>6</v>
      </c>
      <c r="AN75" s="123">
        <f>AF75*3+AG75</f>
        <v>9</v>
      </c>
      <c r="AO75" s="123">
        <f>AN75/AN78*10+BA75</f>
        <v>9</v>
      </c>
      <c r="AP75" s="123">
        <f>AO75*10000000+BI75*100+AM75/AM78*10+AI75/AI78*1++IF(AQ75=0,ROW(),AQ75)/2000000</f>
        <v>90000009.472287104</v>
      </c>
      <c r="AQ75" s="126">
        <f>VLOOKUP(AE75,db_fifarank,2,FALSE)</f>
        <v>1717.07</v>
      </c>
      <c r="AR75" s="125">
        <f>AP75/AP78</f>
        <v>0.99999998888889019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6 - 7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6</v>
      </c>
      <c r="AJ76" s="123">
        <f>SUMIF($E$7:$E$78,$AE76,$G$7:$G$78) + SUMIF($H$7:$H$78,$AE76,$F$7:$F$78)</f>
        <v>7</v>
      </c>
      <c r="AL76" s="123">
        <f>AI76-AJ76</f>
        <v>-1</v>
      </c>
      <c r="AM76" s="123">
        <f>AL76-AL78</f>
        <v>1</v>
      </c>
      <c r="AN76" s="123">
        <f>AF76*3+AG76</f>
        <v>4</v>
      </c>
      <c r="AO76" s="123">
        <f>AN76/AN78*10+BA76</f>
        <v>4</v>
      </c>
      <c r="AP76" s="123">
        <f>AO76*10000000+BI76*100+AM76/AM78*10+AI76/AI78*1++IF(AQ76=0,ROW(),AQ76)/2000000</f>
        <v>40000002.029244579</v>
      </c>
      <c r="AQ76" s="126">
        <f>VLOOKUP(AE76,db_fifarank,2,FALSE)</f>
        <v>1346.31</v>
      </c>
      <c r="AR76" s="125">
        <f>AP76/AP78</f>
        <v>0.44444441527661177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England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6 - 7</v>
      </c>
      <c r="P77" s="34">
        <f>L77*3+M77</f>
        <v>2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4</v>
      </c>
      <c r="AJ77" s="123">
        <f>SUMIF($E$7:$E$78,$AE77,$G$7:$G$78) + SUMIF($H$7:$H$78,$AE77,$F$7:$F$78)</f>
        <v>6</v>
      </c>
      <c r="AL77" s="123">
        <f>AI77-AJ77</f>
        <v>-2</v>
      </c>
      <c r="AM77" s="123">
        <f>AL77-AL78</f>
        <v>0</v>
      </c>
      <c r="AN77" s="123">
        <f>AF77*3+AG77</f>
        <v>1</v>
      </c>
      <c r="AO77" s="123">
        <f>AN77/AN78*10+BA77</f>
        <v>1</v>
      </c>
      <c r="AP77" s="123">
        <f>AO77*10000000+BI77*100+AM77/AM78*10+AI77/AI78*1++IF(AQ77=0,ROW(),AQ77)/2000000</f>
        <v>10000000.40077032</v>
      </c>
      <c r="AQ77" s="126">
        <f>VLOOKUP(AE77,db_fifarank,2,FALSE)</f>
        <v>1540.64</v>
      </c>
      <c r="AR77" s="125">
        <f>AP77/AP78</f>
        <v>0.11111110263536614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4 - 6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3</v>
      </c>
      <c r="AH78" s="123">
        <f t="shared" si="36"/>
        <v>3</v>
      </c>
      <c r="AI78" s="123">
        <f>MAX(AI74:AI77)+1</f>
        <v>10</v>
      </c>
      <c r="AL78" s="123">
        <f>MIN(AL74:AL77)</f>
        <v>-2</v>
      </c>
      <c r="AM78" s="123">
        <f>MAX(AM74:AM77)+1</f>
        <v>7</v>
      </c>
      <c r="AN78" s="123">
        <f>MAX(AN74:AN77)+1</f>
        <v>10</v>
      </c>
      <c r="AO78" s="123">
        <f>MAX(AO74:AO77)+1</f>
        <v>10</v>
      </c>
      <c r="AP78" s="123">
        <f>MAX(AP74:AP77)+1</f>
        <v>90000010.472287104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3</v>
      </c>
      <c r="AP80" s="123">
        <f>AN80/AN92*10000+AM80/AM92*1000+AI80/AI92*100+IF(AQ80=0,ROW(),AQ80)/2000000</f>
        <v>5544.4451593094445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8 - 5</v>
      </c>
      <c r="P81" s="98">
        <f>L81*3+M81</f>
        <v>5</v>
      </c>
      <c r="AD81" s="123">
        <f t="shared" ref="AD81:AD91" si="38">COUNTIF($AP$80:$AP$91,CONCATENATE("&gt;=",AP81))</f>
        <v>2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5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7188.8896671288885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Canada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2 - 3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6</v>
      </c>
      <c r="AJ82" s="123">
        <f t="shared" si="42"/>
        <v>6</v>
      </c>
      <c r="AK82" s="123" t="s">
        <v>3182</v>
      </c>
      <c r="AL82" s="123">
        <f t="shared" si="43"/>
        <v>0</v>
      </c>
      <c r="AM82" s="123">
        <f t="shared" si="44"/>
        <v>6</v>
      </c>
      <c r="AN82" s="123">
        <f t="shared" si="45"/>
        <v>3</v>
      </c>
      <c r="AP82" s="123">
        <f>AN82/AN92*10000+AM82/AM92*1000+AI82/AI92*100+IF(AQ82=0,ROW(),AQ82)/2000000</f>
        <v>5666.6674158416672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Ecuador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6 - 6</v>
      </c>
      <c r="P83" s="101">
        <f t="shared" si="48"/>
        <v>3</v>
      </c>
      <c r="AD83" s="123">
        <f t="shared" si="38"/>
        <v>7</v>
      </c>
      <c r="AE83" s="124" t="str">
        <f>J29</f>
        <v>United States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6</v>
      </c>
      <c r="AK83" s="123" t="s">
        <v>3184</v>
      </c>
      <c r="AL83" s="123">
        <f t="shared" si="43"/>
        <v>-2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5444.4452810094444</v>
      </c>
      <c r="AQ83" s="126">
        <f t="shared" si="37"/>
        <v>1673.13</v>
      </c>
      <c r="AR83" s="125" t="str">
        <f t="shared" si="50"/>
        <v>ABCD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6 - 6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Ivory Coast</v>
      </c>
      <c r="T84" s="127" t="str" cm="1">
        <f t="array" ref="T84">IF(OR(S84="",S84="draw"),INDEX(T,86,lang),S84)</f>
        <v>Ivory Coast</v>
      </c>
      <c r="AD84" s="123">
        <f t="shared" si="38"/>
        <v>3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6</v>
      </c>
      <c r="AJ84" s="123">
        <f t="shared" si="42"/>
        <v>6</v>
      </c>
      <c r="AK84" s="123" t="s">
        <v>3185</v>
      </c>
      <c r="AL84" s="123">
        <f t="shared" si="43"/>
        <v>0</v>
      </c>
      <c r="AM84" s="123">
        <f t="shared" si="44"/>
        <v>6</v>
      </c>
      <c r="AN84" s="123">
        <f t="shared" si="45"/>
        <v>3</v>
      </c>
      <c r="AP84" s="123">
        <f>AN84/AN92*10000+AM84/AM92*1000+AI84/AI92*100+IF(AQ84=0,ROW(),AQ84)/2000000</f>
        <v>5666.6674640566671</v>
      </c>
      <c r="AQ84" s="126">
        <f t="shared" si="37"/>
        <v>1594.78</v>
      </c>
      <c r="AR84" s="125" t="str">
        <f t="shared" si="50"/>
        <v>ABCDE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Ⓖ Iran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5 - 6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Norway</v>
      </c>
      <c r="T85" s="127" t="str" cm="1">
        <f t="array" ref="T85">IF(OR(S85="",S85="draw"),INDEX(T,87,lang),S85)</f>
        <v>Norway</v>
      </c>
      <c r="AD85" s="123">
        <f t="shared" si="38"/>
        <v>9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5</v>
      </c>
      <c r="AN85" s="123">
        <f t="shared" si="45"/>
        <v>2</v>
      </c>
      <c r="AP85" s="123">
        <f>AN85/AN92*10000+AM85/AM92*1000+AI85/AI92*100+IF(AQ85=0,ROW(),AQ85)/2000000</f>
        <v>3877.7785193027776</v>
      </c>
      <c r="AQ85" s="126">
        <f t="shared" si="37"/>
        <v>1483.05</v>
      </c>
      <c r="AR85" s="125" t="str">
        <f t="shared" si="50"/>
        <v>ABCDE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Ⓐ South Africa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5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5</v>
      </c>
      <c r="AJ86" s="123">
        <f t="shared" si="42"/>
        <v>6</v>
      </c>
      <c r="AK86" s="123" t="s">
        <v>3187</v>
      </c>
      <c r="AL86" s="123">
        <f t="shared" si="43"/>
        <v>-1</v>
      </c>
      <c r="AM86" s="123">
        <f t="shared" si="44"/>
        <v>5</v>
      </c>
      <c r="AN86" s="123">
        <f t="shared" si="45"/>
        <v>3</v>
      </c>
      <c r="AP86" s="123">
        <f>AN86/AN92*10000+AM86/AM92*1000+AI86/AI92*100+IF(AQ86=0,ROW(),AQ86)/2000000</f>
        <v>5555.5563632055555</v>
      </c>
      <c r="AQ86" s="126">
        <f t="shared" si="37"/>
        <v>1615.3</v>
      </c>
      <c r="AR86" s="125" t="str">
        <f t="shared" si="50"/>
        <v>ABCDEG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Ⓓ United States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4 - 6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7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1677.7784608427776</v>
      </c>
      <c r="AQ87" s="126">
        <f t="shared" si="37"/>
        <v>1366.13</v>
      </c>
      <c r="AR87" s="125" t="str">
        <f t="shared" si="50"/>
        <v>ABCDEG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Ⓛ England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6 - 7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2</v>
      </c>
      <c r="AH88" s="123">
        <f t="shared" si="40"/>
        <v>0</v>
      </c>
      <c r="AI88" s="123">
        <f t="shared" si="41"/>
        <v>8</v>
      </c>
      <c r="AJ88" s="123">
        <f t="shared" si="42"/>
        <v>5</v>
      </c>
      <c r="AK88" s="123" t="s">
        <v>3189</v>
      </c>
      <c r="AL88" s="123">
        <f t="shared" si="43"/>
        <v>3</v>
      </c>
      <c r="AM88" s="123">
        <f t="shared" si="44"/>
        <v>9</v>
      </c>
      <c r="AN88" s="123">
        <f t="shared" si="45"/>
        <v>5</v>
      </c>
      <c r="AP88" s="123">
        <f>AN88/AN92*10000+AM88/AM92*1000+AI88/AI92*100+IF(AQ88=0,ROW(),AQ88)/2000000</f>
        <v>9322.2230667172225</v>
      </c>
      <c r="AQ88" s="126">
        <f t="shared" si="37"/>
        <v>1688.99</v>
      </c>
      <c r="AR88" s="125" t="str">
        <f t="shared" si="50"/>
        <v>ABCDEGI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Tunisia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4 - 5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10</v>
      </c>
      <c r="AE89" s="124" t="str">
        <f>J65</f>
        <v>Jordan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3655.556251280555</v>
      </c>
      <c r="AQ89" s="126">
        <f t="shared" si="37"/>
        <v>1391.45</v>
      </c>
      <c r="AR89" s="125" t="str">
        <f t="shared" si="50"/>
        <v>ABCDEGI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Jordan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2 - 5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4</v>
      </c>
      <c r="AK90" s="123" t="s">
        <v>3191</v>
      </c>
      <c r="AL90" s="123">
        <f t="shared" si="43"/>
        <v>-2</v>
      </c>
      <c r="AM90" s="123">
        <f t="shared" si="44"/>
        <v>4</v>
      </c>
      <c r="AN90" s="123">
        <f t="shared" si="45"/>
        <v>1</v>
      </c>
      <c r="AP90" s="123">
        <f>AN90/AN92*10000+AM90/AM92*1000+AI90/AI92*100+IF(AQ90=0,ROW(),AQ90)/2000000</f>
        <v>2088.8896280638887</v>
      </c>
      <c r="AQ90" s="126">
        <f t="shared" si="37"/>
        <v>1478.35</v>
      </c>
      <c r="AR90" s="125" t="str">
        <f t="shared" si="50"/>
        <v>ABCDEGI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8</v>
      </c>
      <c r="AE91" s="124" t="str">
        <f>J77</f>
        <v>England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6</v>
      </c>
      <c r="AJ91" s="123">
        <f>VLOOKUP($AE91,$AE$8:$AQ$78,6,FALSE)</f>
        <v>7</v>
      </c>
      <c r="AK91" s="123" t="s">
        <v>3192</v>
      </c>
      <c r="AL91" s="123">
        <f>VLOOKUP($AE91,$AE$8:$AQ$78,8,FALSE)</f>
        <v>-1</v>
      </c>
      <c r="AM91" s="123">
        <f t="shared" si="44"/>
        <v>5</v>
      </c>
      <c r="AN91" s="123">
        <f>VLOOKUP($AE91,$AE$8:$AQ$78,10,FALSE)</f>
        <v>2</v>
      </c>
      <c r="AP91" s="123">
        <f>AN91/AN92*10000+AM91/AM92*1000+AI91/AI92*100+IF(AQ91=0,ROW(),AQ91)/2000000</f>
        <v>3900.0009129849996</v>
      </c>
      <c r="AQ91" s="126">
        <f t="shared" si="37"/>
        <v>1825.97</v>
      </c>
      <c r="AR91" s="125" t="str">
        <f t="shared" si="50"/>
        <v>ABCDEGIL</v>
      </c>
      <c r="AS91" s="129" t="str">
        <f t="shared" si="46"/>
        <v>England</v>
      </c>
      <c r="AT91" s="130" t="str">
        <f>"Ⓛ "&amp;AE91</f>
        <v>Ⓛ England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9</v>
      </c>
      <c r="AJ92" s="123">
        <f>MAX(AJ80:AJ91)+1</f>
        <v>8</v>
      </c>
      <c r="AL92" s="123">
        <f>MIN(AL80:AL91)</f>
        <v>-6</v>
      </c>
      <c r="AM92" s="123">
        <f>MAX(AM80:AM91)+1</f>
        <v>10</v>
      </c>
      <c r="AN92" s="123">
        <f>MAX(AN80:AN91)+1</f>
        <v>6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Norway</v>
      </c>
      <c r="T95" s="127" t="str" cm="1">
        <f t="array" ref="T95">IF(OR(S95="",S95="draw"),INDEX(T,94,lang),S95)</f>
        <v>Norway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Norway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Norway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474</v>
      </c>
      <c r="C3" s="121" t="str">
        <f>'2026 World Cup'!AR91</f>
        <v>ABCDEGIL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2ABAF3-C15F-4E28-B470-3FAA1C29F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ec4a-16e0-4c23-af47-b0328532a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364601-CEF8-4E66-BA61-DBF38115B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B07A3A-0124-48C0-ADE6-B6E18B615FFC}">
  <ds:schemaRefs>
    <ds:schemaRef ds:uri="3dacec4a-16e0-4c23-af47-b0328532aa0c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2026-06-12T14:26:23Z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