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kant.uio.no\div-isf-felles\bruker\runabm\Privat\"/>
    </mc:Choice>
  </mc:AlternateContent>
  <xr:revisionPtr revIDLastSave="0" documentId="13_ncr:2001_{434E6EDC-6A9C-4BEC-B22E-1A9AC431EEDF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T21" i="3"/>
  <c r="S42" i="3"/>
  <c r="S64" i="3"/>
  <c r="T18" i="3"/>
  <c r="T41" i="3"/>
  <c r="S40" i="3"/>
  <c r="S62" i="3"/>
  <c r="S38" i="3"/>
  <c r="S65" i="3"/>
  <c r="S55" i="3"/>
  <c r="T11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70" i="3"/>
  <c r="AR10" i="3"/>
  <c r="AR11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4" i="3" l="1"/>
  <c r="AD9" i="3"/>
  <c r="AD68" i="3"/>
  <c r="L69" i="3" s="1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N71" i="3" l="1"/>
  <c r="N69" i="3"/>
  <c r="J69" i="3"/>
  <c r="AS68" i="3" s="1"/>
  <c r="BL70" i="3" s="1"/>
  <c r="O69" i="3"/>
  <c r="M69" i="3"/>
  <c r="P69" i="3" s="1"/>
  <c r="J71" i="3"/>
  <c r="AE90" i="3" s="1"/>
  <c r="AQ90" i="3" s="1"/>
  <c r="L71" i="3"/>
  <c r="J36" i="3"/>
  <c r="O71" i="3"/>
  <c r="M71" i="3"/>
  <c r="M70" i="3"/>
  <c r="J72" i="3"/>
  <c r="N72" i="3"/>
  <c r="M72" i="3"/>
  <c r="O72" i="3"/>
  <c r="O70" i="3"/>
  <c r="L36" i="3"/>
  <c r="N70" i="3"/>
  <c r="L72" i="3"/>
  <c r="L70" i="3"/>
  <c r="J70" i="3"/>
  <c r="AS69" i="3" s="1"/>
  <c r="BL26" i="3" s="1"/>
  <c r="O34" i="3"/>
  <c r="M35" i="3"/>
  <c r="J33" i="3"/>
  <c r="AS32" i="3" s="1"/>
  <c r="BL10" i="3" s="1"/>
  <c r="N36" i="3"/>
  <c r="N35" i="3"/>
  <c r="O36" i="3"/>
  <c r="M34" i="3"/>
  <c r="N10" i="3"/>
  <c r="J10" i="3"/>
  <c r="AS9" i="3" s="1"/>
  <c r="BL1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S86" i="3" s="1"/>
  <c r="T86" i="3" s="1" a="1"/>
  <c r="T86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BS61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BZ48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BS28" i="3" l="1"/>
  <c r="S88" i="3"/>
  <c r="T88" i="3" s="1" a="1"/>
  <c r="T88" i="3" s="1"/>
  <c r="AH90" i="3"/>
  <c r="AG90" i="3"/>
  <c r="AF90" i="3"/>
  <c r="P35" i="3"/>
  <c r="AI90" i="3"/>
  <c r="AJ90" i="3"/>
  <c r="K69" i="3"/>
  <c r="AL90" i="3"/>
  <c r="AT90" i="3"/>
  <c r="AN90" i="3"/>
  <c r="P33" i="3"/>
  <c r="P71" i="3"/>
  <c r="K71" i="3"/>
  <c r="P12" i="3"/>
  <c r="P72" i="3"/>
  <c r="P70" i="3"/>
  <c r="K72" i="3"/>
  <c r="K36" i="3"/>
  <c r="K70" i="3"/>
  <c r="P34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S111" i="3" s="1"/>
  <c r="T111" i="3" s="1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S69" i="3"/>
  <c r="BZ65" i="3" s="1"/>
  <c r="CG56" i="3" s="1"/>
  <c r="CN38" i="3" s="1"/>
  <c r="BS68" i="3"/>
  <c r="BZ49" i="3" l="1"/>
  <c r="CG55" i="3" s="1"/>
  <c r="CN49" i="3" s="1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<sst xmlns="http://schemas.openxmlformats.org/spreadsheetml/2006/main" count="9786" uniqueCount="3698">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</sst>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S35" zoomScaleNormal="100" workbookViewId="0">
      <selection activeCell="CH25" sqref="CH25"/>
    </sheetView>
  </sheetViews>
  <sheetFormatPr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0">IF(OR(F7="",G7=""),"",IF(F7&gt;G7,E7&amp;"_win",IF(F7&lt;G7,E7&amp;"_lose",E7&amp;"_draw")))</f>
        <v>Mexico_win</v>
      </c>
      <c r="T7" s="127" t="str">
        <f t="shared" ref="T7:T46" si="1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2">U7*F7</f>
        <v>0</v>
      </c>
      <c r="W7" s="123">
        <f t="shared" ref="W7:W46" si="3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4">IF(OR(E7=my_team,H7=my_team),1,IF(INT(MATCH(E7,$AE$8:$AE$78,0)/6)=$AA$6,1,0))</f>
        <v>0</v>
      </c>
      <c r="AB7" s="123">
        <f t="shared" ref="AB7:AB46" si="5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6">TIME(HOUR(R8),MINUTE(R8),0)</f>
        <v>8.3333333333333329E-2</v>
      </c>
      <c r="E8" s="78" t="str">
        <f>AE10</f>
        <v>Korea Republic</v>
      </c>
      <c r="F8" s="19">
        <v>0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0"/>
        <v>Korea Republic_draw</v>
      </c>
      <c r="T8" s="127" t="str">
        <f t="shared" si="1"/>
        <v>Czech Republic_draw</v>
      </c>
      <c r="U8" s="123">
        <f t="shared" ref="U8:U71" si="7">IF(S8="",0,IF(VLOOKUP(E8,$AE$8:$AN$77,10,FALSE)=VLOOKUP(H8,$AE$8:$AN$77,10,FALSE),1,0))</f>
        <v>0</v>
      </c>
      <c r="V8" s="123">
        <f t="shared" si="2"/>
        <v>0</v>
      </c>
      <c r="W8" s="123">
        <f t="shared" si="3"/>
        <v>0</v>
      </c>
      <c r="X8" s="123">
        <f t="shared" ref="X8:X71" si="8">IF(S8="",0,IF(VLOOKUP(E8,$AE$8:$AO$77,11,FALSE)=VLOOKUP(H8,$AE$8:$AO$77,11,FALSE),1,0))</f>
        <v>0</v>
      </c>
      <c r="Y8" s="123">
        <f t="shared" ref="Y8:Y71" si="9">X8*F8</f>
        <v>0</v>
      </c>
      <c r="Z8" s="123">
        <f t="shared" ref="Z8:Z71" si="10">X8*G8</f>
        <v>0</v>
      </c>
      <c r="AA8" s="123">
        <f t="shared" si="4"/>
        <v>0</v>
      </c>
      <c r="AB8" s="123">
        <f t="shared" si="5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7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90000009.607983366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6"/>
        <v>0.79166666666666663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46185.791666666672</v>
      </c>
      <c r="S9" s="127" t="str">
        <f t="shared" si="0"/>
        <v>Canada_win</v>
      </c>
      <c r="T9" s="127" t="str">
        <f t="shared" si="1"/>
        <v>Bosnia and Herzegovina_lose</v>
      </c>
      <c r="U9" s="123">
        <f t="shared" si="7"/>
        <v>0</v>
      </c>
      <c r="V9" s="123">
        <f t="shared" si="2"/>
        <v>0</v>
      </c>
      <c r="W9" s="123">
        <f t="shared" si="3"/>
        <v>0</v>
      </c>
      <c r="X9" s="123">
        <f t="shared" si="8"/>
        <v>0</v>
      </c>
      <c r="Y9" s="123">
        <f t="shared" si="9"/>
        <v>0</v>
      </c>
      <c r="Z9" s="123">
        <f t="shared" si="10"/>
        <v>0</v>
      </c>
      <c r="AA9" s="123">
        <f t="shared" si="4"/>
        <v>0</v>
      </c>
      <c r="AB9" s="123">
        <f t="shared" si="5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2</v>
      </c>
      <c r="AJ9" s="123">
        <f>SUMIF($E$7:$E$78,$AE9,$G$7:$G$78) + SUMIF($H$7:$H$78,$AE9,$F$7:$F$78)</f>
        <v>3</v>
      </c>
      <c r="AL9" s="123">
        <f>AI9-AJ9</f>
        <v>-1</v>
      </c>
      <c r="AM9" s="123">
        <f>AL9-AL12</f>
        <v>1</v>
      </c>
      <c r="AN9" s="123">
        <f>AF9*3+AG9</f>
        <v>4</v>
      </c>
      <c r="AO9" s="123">
        <f>AN9/AN12*10+BA9</f>
        <v>4</v>
      </c>
      <c r="AP9" s="123">
        <f>AO9*10000000+BI9*100+AM9/AM12*10+AI9/AI12*1++IF(AQ9=0,ROW(),AQ9)/2000000</f>
        <v>40000001.536429152</v>
      </c>
      <c r="AQ9" s="126">
        <f>VLOOKUP(AE9,db_fifarank,2,FALSE)</f>
        <v>1429.73</v>
      </c>
      <c r="AR9" s="125">
        <f>AP9/AP12</f>
        <v>0.44444440913078059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6"/>
        <v>4.1666666666666664E-2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0"/>
        <v>United States_win</v>
      </c>
      <c r="T10" s="127" t="str">
        <f t="shared" si="1"/>
        <v>Paraguay_lose</v>
      </c>
      <c r="U10" s="123">
        <f t="shared" si="7"/>
        <v>0</v>
      </c>
      <c r="V10" s="123">
        <f t="shared" si="2"/>
        <v>0</v>
      </c>
      <c r="W10" s="123">
        <f t="shared" si="3"/>
        <v>0</v>
      </c>
      <c r="X10" s="123">
        <f t="shared" si="8"/>
        <v>0</v>
      </c>
      <c r="Y10" s="123">
        <f t="shared" si="9"/>
        <v>0</v>
      </c>
      <c r="Z10" s="123">
        <f t="shared" si="10"/>
        <v>0</v>
      </c>
      <c r="AA10" s="123">
        <f t="shared" si="4"/>
        <v>0</v>
      </c>
      <c r="AB10" s="123">
        <f t="shared" si="5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1</v>
      </c>
      <c r="AJ10" s="123">
        <f>SUMIF($E$7:$E$78,$AE10,$G$7:$G$78) + SUMIF($H$7:$H$78,$AE10,$F$7:$F$78)</f>
        <v>3</v>
      </c>
      <c r="AL10" s="123">
        <f>AI10-AJ10</f>
        <v>-2</v>
      </c>
      <c r="AM10" s="123">
        <f>AL10-AL12</f>
        <v>0</v>
      </c>
      <c r="AN10" s="123">
        <f>AF10*3+AG10</f>
        <v>2</v>
      </c>
      <c r="AO10" s="123">
        <f>AN10/AN12*10+BA10</f>
        <v>2</v>
      </c>
      <c r="AP10" s="123">
        <f>AO10*10000000+BI10*100+AM10/AM12*10+AI10/AI12*1++IF(AQ10=0,ROW(),AQ10)/2000000</f>
        <v>20000000.143651471</v>
      </c>
      <c r="AQ10" s="126">
        <f>VLOOKUP(AE10,db_fifarank,2,FALSE)</f>
        <v>1588.66</v>
      </c>
      <c r="AR10" s="125">
        <f>AP10/AP12</f>
        <v>0.22222219762580106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6"/>
        <v>4.1666666666666664E-2</v>
      </c>
      <c r="E11" s="78" t="str">
        <f>AE22</f>
        <v>Haiti</v>
      </c>
      <c r="F11" s="19">
        <v>1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1 - 3</v>
      </c>
      <c r="P11" s="34">
        <f>L11*3+M11</f>
        <v>2</v>
      </c>
      <c r="R11" s="123">
        <f>DATE(2026,6,13)+TIME(14,0,0)+gmt_delta</f>
        <v>46187.041666666672</v>
      </c>
      <c r="S11" s="127" t="str">
        <f t="shared" si="0"/>
        <v>Haiti_draw</v>
      </c>
      <c r="T11" s="127" t="str">
        <f t="shared" si="1"/>
        <v>Scotland_draw</v>
      </c>
      <c r="U11" s="123">
        <f t="shared" si="7"/>
        <v>1</v>
      </c>
      <c r="V11" s="123">
        <f t="shared" si="2"/>
        <v>1</v>
      </c>
      <c r="W11" s="123">
        <f t="shared" si="3"/>
        <v>1</v>
      </c>
      <c r="X11" s="123">
        <f t="shared" si="8"/>
        <v>1</v>
      </c>
      <c r="Y11" s="123">
        <f t="shared" si="9"/>
        <v>1</v>
      </c>
      <c r="Z11" s="123">
        <f t="shared" si="10"/>
        <v>1</v>
      </c>
      <c r="AA11" s="123">
        <f t="shared" si="4"/>
        <v>0</v>
      </c>
      <c r="AB11" s="123">
        <f t="shared" si="5"/>
        <v>0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3</v>
      </c>
      <c r="AL11" s="123">
        <f>AI11-AJ11</f>
        <v>-2</v>
      </c>
      <c r="AM11" s="123">
        <f>AL11-AL12</f>
        <v>0</v>
      </c>
      <c r="AN11" s="123">
        <f>AF11*3+AG11</f>
        <v>1</v>
      </c>
      <c r="AO11" s="123">
        <f>AN11/AN12*10+BA11</f>
        <v>1</v>
      </c>
      <c r="AP11" s="123">
        <f>AO11*10000000+BI11*100+AM11/AM12*10+AI11/AI12*1++IF(AQ11=0,ROW(),AQ11)/2000000</f>
        <v>10000000.143607834</v>
      </c>
      <c r="AQ11" s="126">
        <f>VLOOKUP(AE11,db_fifarank,2,FALSE)</f>
        <v>1501.38</v>
      </c>
      <c r="AR11" s="125">
        <f>AP11/AP12</f>
        <v>0.11111109961047931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6"/>
        <v>0.16666666666666666</v>
      </c>
      <c r="E12" s="78" t="str">
        <f>AE28</f>
        <v>Australia</v>
      </c>
      <c r="F12" s="19">
        <v>0</v>
      </c>
      <c r="G12" s="20">
        <v>1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1 - 3</v>
      </c>
      <c r="P12" s="37">
        <f>L12*3+M12</f>
        <v>1</v>
      </c>
      <c r="R12" s="123">
        <f>DATE(2026,6,13)+TIME(17,0,0)+gmt_delta</f>
        <v>46187.166666666672</v>
      </c>
      <c r="S12" s="127" t="str">
        <f t="shared" si="0"/>
        <v>Australia_lose</v>
      </c>
      <c r="T12" s="127" t="str">
        <f t="shared" si="1"/>
        <v>Turkey_win</v>
      </c>
      <c r="U12" s="123">
        <f t="shared" si="7"/>
        <v>0</v>
      </c>
      <c r="V12" s="123">
        <f t="shared" si="2"/>
        <v>0</v>
      </c>
      <c r="W12" s="123">
        <f t="shared" si="3"/>
        <v>0</v>
      </c>
      <c r="X12" s="123">
        <f t="shared" si="8"/>
        <v>0</v>
      </c>
      <c r="Y12" s="123">
        <f t="shared" si="9"/>
        <v>0</v>
      </c>
      <c r="Z12" s="123">
        <f t="shared" si="10"/>
        <v>0</v>
      </c>
      <c r="AA12" s="123">
        <f t="shared" si="4"/>
        <v>0</v>
      </c>
      <c r="AB12" s="123">
        <f t="shared" si="5"/>
        <v>-1</v>
      </c>
      <c r="AF12" s="123">
        <f>MAX(AF8:AF11)-MIN(AF8:AF11)+1</f>
        <v>4</v>
      </c>
      <c r="AG12" s="123">
        <f>MAX(AG8:AG11)-MIN(AG8:AG11)+1</f>
        <v>3</v>
      </c>
      <c r="AH12" s="123">
        <f>MAX(AH8:AH11)-MIN(AH8:AH11)+1</f>
        <v>3</v>
      </c>
      <c r="AI12" s="123">
        <f>MAX(AI8:AI11)+1</f>
        <v>7</v>
      </c>
      <c r="AL12" s="123">
        <f>MIN(AL8:AL11)</f>
        <v>-2</v>
      </c>
      <c r="AM12" s="123">
        <f>MAX(AM8:AM11)+1</f>
        <v>8</v>
      </c>
      <c r="AN12" s="123">
        <f>MAX(AN8:AN11)+1</f>
        <v>10</v>
      </c>
      <c r="AO12" s="123">
        <f>MAX(AO8:AO11)+1</f>
        <v>10</v>
      </c>
      <c r="AP12" s="123">
        <f>MAX(AP8:AP11)+1</f>
        <v>90000010.607983366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6"/>
        <v>0.91666666666666663</v>
      </c>
      <c r="E13" s="78" t="str">
        <f>AE20</f>
        <v>Brazil</v>
      </c>
      <c r="F13" s="19">
        <v>2</v>
      </c>
      <c r="G13" s="20">
        <v>0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0"/>
        <v>Brazil_win</v>
      </c>
      <c r="T13" s="127" t="str">
        <f t="shared" si="1"/>
        <v>Morocco_lose</v>
      </c>
      <c r="U13" s="123">
        <f t="shared" si="7"/>
        <v>0</v>
      </c>
      <c r="V13" s="123">
        <f t="shared" si="2"/>
        <v>0</v>
      </c>
      <c r="W13" s="123">
        <f t="shared" si="3"/>
        <v>0</v>
      </c>
      <c r="X13" s="123">
        <f t="shared" si="8"/>
        <v>0</v>
      </c>
      <c r="Y13" s="123">
        <f t="shared" si="9"/>
        <v>0</v>
      </c>
      <c r="Z13" s="123">
        <f t="shared" si="10"/>
        <v>0</v>
      </c>
      <c r="AA13" s="123">
        <f t="shared" si="4"/>
        <v>0</v>
      </c>
      <c r="AB13" s="123">
        <f t="shared" si="5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6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0"/>
        <v>Qatar_lose</v>
      </c>
      <c r="T14" s="127" t="str">
        <f t="shared" si="1"/>
        <v>Switzerland_win</v>
      </c>
      <c r="U14" s="123">
        <f t="shared" si="7"/>
        <v>0</v>
      </c>
      <c r="V14" s="123">
        <f t="shared" si="2"/>
        <v>0</v>
      </c>
      <c r="W14" s="123">
        <f t="shared" si="3"/>
        <v>0</v>
      </c>
      <c r="X14" s="123">
        <f t="shared" si="8"/>
        <v>0</v>
      </c>
      <c r="Y14" s="123">
        <f t="shared" si="9"/>
        <v>0</v>
      </c>
      <c r="Z14" s="123">
        <f t="shared" si="10"/>
        <v>0</v>
      </c>
      <c r="AA14" s="123">
        <f t="shared" si="4"/>
        <v>0</v>
      </c>
      <c r="AB14" s="123">
        <f t="shared" si="5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1</v>
      </c>
      <c r="AL14" s="123">
        <f>AI14-AJ14</f>
        <v>4</v>
      </c>
      <c r="AM14" s="123">
        <f>AL14-AL18</f>
        <v>10</v>
      </c>
      <c r="AN14" s="123">
        <f>AF14*3+AG14</f>
        <v>7</v>
      </c>
      <c r="AO14" s="123">
        <f>AN14/AN18*10+BA14</f>
        <v>9.7305825242718456</v>
      </c>
      <c r="AP14" s="123">
        <f>AO14*10000000+BI14*100+AM14/AM18*10+AI14/AI18*1++IF(AQ14=0,ROW(),AQ14)/2000000</f>
        <v>97305933.225991547</v>
      </c>
      <c r="AQ14" s="126">
        <f>VLOOKUP(AE14,db_fifarank,2,FALSE)</f>
        <v>1556.48</v>
      </c>
      <c r="AR14" s="125">
        <f>AP14/AP18</f>
        <v>0.99999998972313453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6"/>
        <v>0.95833333333333337</v>
      </c>
      <c r="E15" s="78" t="str">
        <f>AE34</f>
        <v>Ivory Coast</v>
      </c>
      <c r="F15" s="19">
        <v>1</v>
      </c>
      <c r="G15" s="20">
        <v>0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46187.958333333336</v>
      </c>
      <c r="S15" s="127" t="str">
        <f t="shared" si="0"/>
        <v>Ivory Coast_win</v>
      </c>
      <c r="T15" s="127" t="str">
        <f t="shared" si="1"/>
        <v>Ecuador_lose</v>
      </c>
      <c r="U15" s="123">
        <f t="shared" si="7"/>
        <v>0</v>
      </c>
      <c r="V15" s="123">
        <f t="shared" si="2"/>
        <v>0</v>
      </c>
      <c r="W15" s="123">
        <f t="shared" si="3"/>
        <v>0</v>
      </c>
      <c r="X15" s="123">
        <f t="shared" si="8"/>
        <v>0</v>
      </c>
      <c r="Y15" s="123">
        <f t="shared" si="9"/>
        <v>0</v>
      </c>
      <c r="Z15" s="123">
        <f t="shared" si="10"/>
        <v>0</v>
      </c>
      <c r="AA15" s="123">
        <f t="shared" si="4"/>
        <v>0</v>
      </c>
      <c r="AB15" s="123">
        <f t="shared" si="5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3</v>
      </c>
      <c r="AL15" s="123">
        <f>AI15-AJ15</f>
        <v>-1</v>
      </c>
      <c r="AM15" s="123">
        <f>AL15-AL18</f>
        <v>5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37500004.879480802</v>
      </c>
      <c r="AQ15" s="126">
        <f>VLOOKUP(AE15,db_fifarank,2,FALSE)</f>
        <v>1385.84</v>
      </c>
      <c r="AR15" s="125">
        <f>AP15/AP18</f>
        <v>0.38538250701532356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6"/>
        <v>0.70833333333333337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4 - 1</v>
      </c>
      <c r="P16" s="34">
        <f>L16*3+M16</f>
        <v>7</v>
      </c>
      <c r="R16" s="123">
        <f>DATE(2026,6,14)+TIME(6,0,0)+gmt_delta</f>
        <v>46187.708333333336</v>
      </c>
      <c r="S16" s="127" t="str">
        <f t="shared" si="0"/>
        <v>Germany_win</v>
      </c>
      <c r="T16" s="127" t="str">
        <f t="shared" si="1"/>
        <v>Curaçao_lose</v>
      </c>
      <c r="U16" s="123">
        <f t="shared" si="7"/>
        <v>0</v>
      </c>
      <c r="V16" s="123">
        <f t="shared" si="2"/>
        <v>0</v>
      </c>
      <c r="W16" s="123">
        <f t="shared" si="3"/>
        <v>0</v>
      </c>
      <c r="X16" s="123">
        <f t="shared" si="8"/>
        <v>0</v>
      </c>
      <c r="Y16" s="123">
        <f t="shared" si="9"/>
        <v>0</v>
      </c>
      <c r="Z16" s="123">
        <f t="shared" si="10"/>
        <v>0</v>
      </c>
      <c r="AA16" s="123">
        <f t="shared" si="4"/>
        <v>0</v>
      </c>
      <c r="AB16" s="123">
        <f t="shared" si="5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6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7.4762141259590473E-12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6"/>
        <v>0.83333333333333337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2 - 3</v>
      </c>
      <c r="P17" s="34">
        <f>L17*3+M17</f>
        <v>3</v>
      </c>
      <c r="R17" s="123">
        <f>DATE(2026,6,14)+TIME(9,0,0)+gmt_delta</f>
        <v>46187.833333333336</v>
      </c>
      <c r="S17" s="127" t="str">
        <f t="shared" si="0"/>
        <v>Netherlands_win</v>
      </c>
      <c r="T17" s="127" t="str">
        <f t="shared" si="1"/>
        <v>Japan_lose</v>
      </c>
      <c r="U17" s="123">
        <f t="shared" si="7"/>
        <v>0</v>
      </c>
      <c r="V17" s="123">
        <f t="shared" si="2"/>
        <v>0</v>
      </c>
      <c r="W17" s="123">
        <f t="shared" si="3"/>
        <v>0</v>
      </c>
      <c r="X17" s="123">
        <f t="shared" si="8"/>
        <v>0</v>
      </c>
      <c r="Y17" s="123">
        <f t="shared" si="9"/>
        <v>0</v>
      </c>
      <c r="Z17" s="123">
        <f t="shared" si="10"/>
        <v>0</v>
      </c>
      <c r="AA17" s="123">
        <f t="shared" si="4"/>
        <v>0</v>
      </c>
      <c r="AB17" s="123">
        <f t="shared" si="5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1</v>
      </c>
      <c r="AL17" s="123">
        <f>AI17-AJ17</f>
        <v>3</v>
      </c>
      <c r="AM17" s="123">
        <f>AL17-AL18</f>
        <v>9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97305932.150280446</v>
      </c>
      <c r="AQ17" s="126">
        <f>VLOOKUP(AE17,db_fifarank,2,FALSE)</f>
        <v>1649.4</v>
      </c>
      <c r="AR17" s="125">
        <f>AP17/AP18</f>
        <v>0.99999997866819612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6"/>
        <v>8.3333333333333329E-2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0 - 6</v>
      </c>
      <c r="P18" s="37">
        <f>L18*3+M18</f>
        <v>0</v>
      </c>
      <c r="R18" s="123">
        <f>DATE(2026,6,14)+TIME(15,0,0)+gmt_delta</f>
        <v>46188.083333333336</v>
      </c>
      <c r="S18" s="127" t="str">
        <f t="shared" si="0"/>
        <v>Sweden_win</v>
      </c>
      <c r="T18" s="127" t="str">
        <f t="shared" si="1"/>
        <v>Tunisia_lose</v>
      </c>
      <c r="U18" s="123">
        <f t="shared" si="7"/>
        <v>0</v>
      </c>
      <c r="V18" s="123">
        <f t="shared" si="2"/>
        <v>0</v>
      </c>
      <c r="W18" s="123">
        <f t="shared" si="3"/>
        <v>0</v>
      </c>
      <c r="X18" s="123">
        <f t="shared" si="8"/>
        <v>0</v>
      </c>
      <c r="Y18" s="123">
        <f t="shared" si="9"/>
        <v>0</v>
      </c>
      <c r="Z18" s="123">
        <f t="shared" si="10"/>
        <v>0</v>
      </c>
      <c r="AA18" s="123">
        <f t="shared" si="4"/>
        <v>0</v>
      </c>
      <c r="AB18" s="123">
        <f t="shared" si="5"/>
        <v>1</v>
      </c>
      <c r="AF18" s="123">
        <f>MAX(AF14:AF17)-MIN(AF14:AF17)+1</f>
        <v>3</v>
      </c>
      <c r="AG18" s="123">
        <f>MAX(AG14:AG17)-MIN(AG14:AG17)+1</f>
        <v>2</v>
      </c>
      <c r="AH18" s="123">
        <f>MAX(AH14:AH17)-MIN(AH14:AH17)+1</f>
        <v>4</v>
      </c>
      <c r="AI18" s="123">
        <f>MAX(AI14:AI17)+1</f>
        <v>6</v>
      </c>
      <c r="AL18" s="123">
        <f>MIN(AL14:AL17)</f>
        <v>-6</v>
      </c>
      <c r="AM18" s="123">
        <f>MAX(AM14:AM17)+1</f>
        <v>11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97305934.225991547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41">
        <v>73</v>
      </c>
      <c r="BL18" s="24" t="str">
        <f>AS9</f>
        <v>South Africa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6"/>
        <v>0.91666666666666663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0"/>
        <v>Saudi Arabia_lose</v>
      </c>
      <c r="T19" s="127" t="str">
        <f t="shared" si="1"/>
        <v>Uruguay_win</v>
      </c>
      <c r="U19" s="123">
        <f t="shared" si="7"/>
        <v>0</v>
      </c>
      <c r="V19" s="123">
        <f t="shared" si="2"/>
        <v>0</v>
      </c>
      <c r="W19" s="123">
        <f t="shared" si="3"/>
        <v>0</v>
      </c>
      <c r="X19" s="123">
        <f t="shared" si="8"/>
        <v>0</v>
      </c>
      <c r="Y19" s="123">
        <f t="shared" si="9"/>
        <v>0</v>
      </c>
      <c r="Z19" s="123">
        <f t="shared" si="10"/>
        <v>0</v>
      </c>
      <c r="AA19" s="123">
        <f t="shared" si="4"/>
        <v>0</v>
      </c>
      <c r="AB19" s="123">
        <f t="shared" si="5"/>
        <v>-1</v>
      </c>
      <c r="BK19" s="14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6"/>
        <v>0.66666666666666663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0"/>
        <v>Spain_win</v>
      </c>
      <c r="T20" s="127" t="str">
        <f t="shared" si="1"/>
        <v>Cape Verde_lose</v>
      </c>
      <c r="U20" s="123">
        <f t="shared" si="7"/>
        <v>0</v>
      </c>
      <c r="V20" s="123">
        <f t="shared" si="2"/>
        <v>0</v>
      </c>
      <c r="W20" s="123">
        <f t="shared" si="3"/>
        <v>0</v>
      </c>
      <c r="X20" s="123">
        <f t="shared" si="8"/>
        <v>0</v>
      </c>
      <c r="Y20" s="123">
        <f t="shared" si="9"/>
        <v>0</v>
      </c>
      <c r="Z20" s="123">
        <f t="shared" si="10"/>
        <v>0</v>
      </c>
      <c r="AA20" s="123">
        <f t="shared" si="4"/>
        <v>0</v>
      </c>
      <c r="AB20" s="123">
        <f t="shared" si="5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0</v>
      </c>
      <c r="AL20" s="123">
        <f>AI20-AJ20</f>
        <v>8</v>
      </c>
      <c r="AM20" s="123">
        <f>AL20-AL24</f>
        <v>14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90000010.223102808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Switzerland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6"/>
        <v>4.1666666666666664E-2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8 - 0</v>
      </c>
      <c r="P21" s="32">
        <f>L21*3+M21</f>
        <v>9</v>
      </c>
      <c r="R21" s="123">
        <f>DATE(2026,6,15)+TIME(14,0,0)+gmt_delta</f>
        <v>46189.041666666672</v>
      </c>
      <c r="S21" s="127" t="str">
        <f t="shared" si="0"/>
        <v>Iran_win</v>
      </c>
      <c r="T21" s="127" t="str">
        <f t="shared" si="1"/>
        <v>New Zealand_lose</v>
      </c>
      <c r="U21" s="123">
        <f t="shared" si="7"/>
        <v>0</v>
      </c>
      <c r="V21" s="123">
        <f t="shared" si="2"/>
        <v>0</v>
      </c>
      <c r="W21" s="123">
        <f t="shared" si="3"/>
        <v>0</v>
      </c>
      <c r="X21" s="123">
        <f t="shared" si="8"/>
        <v>0</v>
      </c>
      <c r="Y21" s="123">
        <f t="shared" si="9"/>
        <v>0</v>
      </c>
      <c r="Z21" s="123">
        <f t="shared" si="10"/>
        <v>0</v>
      </c>
      <c r="AA21" s="123">
        <f t="shared" si="4"/>
        <v>0</v>
      </c>
      <c r="AB21" s="123">
        <f t="shared" si="5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9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60000006.556433484</v>
      </c>
      <c r="AQ21" s="126">
        <f>VLOOKUP(AE21,db_fifarank,2,FALSE)</f>
        <v>1755.87</v>
      </c>
      <c r="AR21" s="125">
        <f>AP21/AP24</f>
        <v>0.66666665638183398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6"/>
        <v>0.79166666666666663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0"/>
        <v>Belgium_draw</v>
      </c>
      <c r="T22" s="127" t="str">
        <f t="shared" si="1"/>
        <v>Egypt_draw</v>
      </c>
      <c r="U22" s="123">
        <f t="shared" si="7"/>
        <v>0</v>
      </c>
      <c r="V22" s="123">
        <f t="shared" si="2"/>
        <v>0</v>
      </c>
      <c r="W22" s="123">
        <f t="shared" si="3"/>
        <v>0</v>
      </c>
      <c r="X22" s="123">
        <f t="shared" si="8"/>
        <v>0</v>
      </c>
      <c r="Y22" s="123">
        <f t="shared" si="9"/>
        <v>0</v>
      </c>
      <c r="Z22" s="123">
        <f t="shared" si="10"/>
        <v>0</v>
      </c>
      <c r="AA22" s="123">
        <f t="shared" si="4"/>
        <v>0</v>
      </c>
      <c r="AB22" s="123">
        <f t="shared" si="5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7</v>
      </c>
      <c r="AL22" s="123">
        <f>AI22-AJ22</f>
        <v>-6</v>
      </c>
      <c r="AM22" s="123">
        <f>AL22-AL24</f>
        <v>0</v>
      </c>
      <c r="AN22" s="123">
        <f>AF22*3+AG22</f>
        <v>1</v>
      </c>
      <c r="AO22" s="123">
        <f>AN22/AN24*10+BA22</f>
        <v>1.9805825242718447</v>
      </c>
      <c r="AP22" s="123">
        <f>AO22*10000000+BI22*100+AM22/AM24*10+AI22/AI24*1++IF(AQ22=0,ROW(),AQ22)/2000000</f>
        <v>19805923.41272784</v>
      </c>
      <c r="AQ22" s="126">
        <f>VLOOKUP(AE22,db_fifarank,2,FALSE)</f>
        <v>1291.71</v>
      </c>
      <c r="AR22" s="125">
        <f>AP22/AP24</f>
        <v>0.22006578825452083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1</v>
      </c>
      <c r="AV22" s="126" cm="1">
        <f t="array" ref="AV22">SUMPRODUCT(($E$7:$E$78=AE22)*($U$7:$U$78)*($F$7:$F$78))+SUMPRODUCT(($H$7:$H$78=AE22)*($U$7:$U$78)*($G$7:$G$78))</f>
        <v>1</v>
      </c>
      <c r="AW22" s="126" cm="1">
        <f t="array" ref="AW22">SUMPRODUCT(($E$7:$E$78=AE22)*($U$7:$U$78)*($G$7:$G$78))+SUMPRODUCT(($H$7:$H$78=AE22)*($U$7:$U$78)*($F$7:$F$78))</f>
        <v>1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50.5</v>
      </c>
      <c r="BA22" s="126">
        <f>AZ22/AZ24</f>
        <v>0.98058252427184467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1</v>
      </c>
      <c r="BD22" s="126" cm="1">
        <f t="array" ref="BD22">SUMPRODUCT(($E$7:$E$78=AE22)*($X$7:$X$78)*($F$7:$F$78))+SUMPRODUCT(($H$7:$H$78=AE22)*($X$7:$X$78)*($G$7:$G$78))</f>
        <v>1</v>
      </c>
      <c r="BE22" s="126" cm="1">
        <f t="array" ref="BE22">SUMPRODUCT(($E$7:$E$78=AE22)*($X$7:$X$78)*($G$7:$G$78))+SUMPRODUCT(($H$7:$H$78=AE22)*($X$7:$X$78)*($F$7:$F$78))</f>
        <v>1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50.5</v>
      </c>
      <c r="BI22" s="126">
        <f>BH22/BH24</f>
        <v>0.98058252427184467</v>
      </c>
      <c r="BK22" s="141">
        <v>75</v>
      </c>
      <c r="BL22" s="24" t="str">
        <f>AS38</f>
        <v>Netherlands</v>
      </c>
      <c r="BM22" s="61">
        <v>1</v>
      </c>
      <c r="BN22" s="63">
        <v>0</v>
      </c>
      <c r="BO22" s="25">
        <v>0</v>
      </c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6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1 - 6</v>
      </c>
      <c r="P23" s="34">
        <f>L23*3+M23</f>
        <v>1</v>
      </c>
      <c r="R23" s="123">
        <f>DATE(2026,6,16)+TIME(8,0,0)+gmt_delta</f>
        <v>46189.791666666672</v>
      </c>
      <c r="S23" s="127" t="str">
        <f t="shared" si="0"/>
        <v>France_win</v>
      </c>
      <c r="T23" s="127" t="str">
        <f t="shared" si="1"/>
        <v>Senegal_lose</v>
      </c>
      <c r="U23" s="123">
        <f t="shared" si="7"/>
        <v>0</v>
      </c>
      <c r="V23" s="123">
        <f t="shared" si="2"/>
        <v>0</v>
      </c>
      <c r="W23" s="123">
        <f t="shared" si="3"/>
        <v>0</v>
      </c>
      <c r="X23" s="123">
        <f t="shared" si="8"/>
        <v>0</v>
      </c>
      <c r="Y23" s="123">
        <f t="shared" si="9"/>
        <v>0</v>
      </c>
      <c r="Z23" s="123">
        <f t="shared" si="10"/>
        <v>0</v>
      </c>
      <c r="AA23" s="123">
        <f t="shared" si="4"/>
        <v>0</v>
      </c>
      <c r="AB23" s="123">
        <f t="shared" si="5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6</v>
      </c>
      <c r="AL23" s="123">
        <f>AI23-AJ23</f>
        <v>-5</v>
      </c>
      <c r="AM23" s="123">
        <f>AL23-AL24</f>
        <v>1</v>
      </c>
      <c r="AN23" s="123">
        <f>AF23*3+AG23</f>
        <v>1</v>
      </c>
      <c r="AO23" s="123">
        <f>AN23/AN24*10+BA23</f>
        <v>1.9805825242718447</v>
      </c>
      <c r="AP23" s="123">
        <f>AO23*10000000+BI23*100+AM23/AM24*10+AI23/AI24*1++IF(AQ23=0,ROW(),AQ23)/2000000</f>
        <v>19805924.079497829</v>
      </c>
      <c r="AQ23" s="126">
        <f>VLOOKUP(AE23,db_fifarank,2,FALSE)</f>
        <v>1498.35</v>
      </c>
      <c r="AR23" s="125">
        <f>AP23/AP24</f>
        <v>0.22006579566307533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42"/>
      <c r="BL23" s="26" t="str">
        <f>AS21</f>
        <v>Morocco</v>
      </c>
      <c r="BM23" s="62">
        <v>1</v>
      </c>
      <c r="BN23" s="64">
        <v>0</v>
      </c>
      <c r="BO23" s="27">
        <v>1</v>
      </c>
      <c r="BP23" s="112">
        <f>IF(BP22="","",BM23*1000+BN23*10+BO23)</f>
        <v>1001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6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1 - 7</v>
      </c>
      <c r="P24" s="37">
        <f>L24*3+M24</f>
        <v>1</v>
      </c>
      <c r="R24" s="123">
        <f>DATE(2026,6,16)+TIME(11,0,0)+gmt_delta</f>
        <v>46189.916666666672</v>
      </c>
      <c r="S24" s="127" t="str">
        <f t="shared" si="0"/>
        <v>Iraq_lose</v>
      </c>
      <c r="T24" s="127" t="str">
        <f t="shared" si="1"/>
        <v>Norway_win</v>
      </c>
      <c r="U24" s="123">
        <f t="shared" si="7"/>
        <v>0</v>
      </c>
      <c r="V24" s="123">
        <f t="shared" si="2"/>
        <v>0</v>
      </c>
      <c r="W24" s="123">
        <f t="shared" si="3"/>
        <v>0</v>
      </c>
      <c r="X24" s="123">
        <f t="shared" si="8"/>
        <v>0</v>
      </c>
      <c r="Y24" s="123">
        <f t="shared" si="9"/>
        <v>0</v>
      </c>
      <c r="Z24" s="123">
        <f t="shared" si="10"/>
        <v>0</v>
      </c>
      <c r="AA24" s="123">
        <f t="shared" si="4"/>
        <v>0</v>
      </c>
      <c r="AB24" s="123">
        <f t="shared" si="5"/>
        <v>-1</v>
      </c>
      <c r="AF24" s="123">
        <f>MAX(AF20:AF23)-MIN(AF20:AF23)+1</f>
        <v>4</v>
      </c>
      <c r="AG24" s="123">
        <f>MAX(AG20:AG23)-MIN(AG20:AG23)+1</f>
        <v>2</v>
      </c>
      <c r="AH24" s="123">
        <f>MAX(AH20:AH23)-MIN(AH20:AH23)+1</f>
        <v>3</v>
      </c>
      <c r="AI24" s="123">
        <f>MAX(AI20:AI23)+1</f>
        <v>9</v>
      </c>
      <c r="AL24" s="123">
        <f>MIN(AL20:AL23)</f>
        <v>-6</v>
      </c>
      <c r="AM24" s="123">
        <f>MAX(AM20:AM23)+1</f>
        <v>15</v>
      </c>
      <c r="AN24" s="123">
        <f>MAX(AN20:AN23)+1</f>
        <v>10</v>
      </c>
      <c r="AO24" s="123">
        <f>MAX(AO20:AO23)+1</f>
        <v>10</v>
      </c>
      <c r="AP24" s="123">
        <f>MAX(AP20:AP23)+1</f>
        <v>90000011.223102808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6"/>
        <v>4.1666666666666664E-2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0"/>
        <v>Argentina_win</v>
      </c>
      <c r="T25" s="127" t="str">
        <f t="shared" si="1"/>
        <v>Algeria_lose</v>
      </c>
      <c r="U25" s="123">
        <f t="shared" si="7"/>
        <v>0</v>
      </c>
      <c r="V25" s="123">
        <f t="shared" si="2"/>
        <v>0</v>
      </c>
      <c r="W25" s="123">
        <f t="shared" si="3"/>
        <v>0</v>
      </c>
      <c r="X25" s="123">
        <f t="shared" si="8"/>
        <v>0</v>
      </c>
      <c r="Y25" s="123">
        <f t="shared" si="9"/>
        <v>0</v>
      </c>
      <c r="Z25" s="123">
        <f t="shared" si="10"/>
        <v>0</v>
      </c>
      <c r="AA25" s="123">
        <f t="shared" si="4"/>
        <v>1</v>
      </c>
      <c r="AB25" s="123">
        <f t="shared" si="5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6"/>
        <v>0.16666666666666666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0"/>
        <v>Austria_win</v>
      </c>
      <c r="T26" s="127" t="str">
        <f t="shared" si="1"/>
        <v>Jordan_lose</v>
      </c>
      <c r="U26" s="123">
        <f t="shared" si="7"/>
        <v>0</v>
      </c>
      <c r="V26" s="123">
        <f t="shared" si="2"/>
        <v>0</v>
      </c>
      <c r="W26" s="123">
        <f t="shared" si="3"/>
        <v>0</v>
      </c>
      <c r="X26" s="123">
        <f t="shared" si="8"/>
        <v>0</v>
      </c>
      <c r="Y26" s="123">
        <f t="shared" si="9"/>
        <v>0</v>
      </c>
      <c r="Z26" s="123">
        <f t="shared" si="10"/>
        <v>0</v>
      </c>
      <c r="AA26" s="123">
        <f t="shared" si="4"/>
        <v>0</v>
      </c>
      <c r="AB26" s="123">
        <f t="shared" si="5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0</v>
      </c>
      <c r="AL26" s="123">
        <f>AI26-AJ26</f>
        <v>4</v>
      </c>
      <c r="AM26" s="123">
        <f>AL26-AL30</f>
        <v>7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90000009.550836563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6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4 - 0</v>
      </c>
      <c r="P27" s="32">
        <f>L27*3+M27</f>
        <v>9</v>
      </c>
      <c r="R27" s="123">
        <f>DATE(2026,6,17)+TIME(12,0,0)+gmt_delta</f>
        <v>46190.958333333336</v>
      </c>
      <c r="S27" s="127" t="str">
        <f t="shared" si="0"/>
        <v>Ghana_win</v>
      </c>
      <c r="T27" s="127" t="str">
        <f t="shared" si="1"/>
        <v>Panama_lose</v>
      </c>
      <c r="U27" s="123">
        <f t="shared" si="7"/>
        <v>0</v>
      </c>
      <c r="V27" s="123">
        <f t="shared" si="2"/>
        <v>0</v>
      </c>
      <c r="W27" s="123">
        <f t="shared" si="3"/>
        <v>0</v>
      </c>
      <c r="X27" s="123">
        <f t="shared" si="8"/>
        <v>0</v>
      </c>
      <c r="Y27" s="123">
        <f t="shared" si="9"/>
        <v>0</v>
      </c>
      <c r="Z27" s="123">
        <f t="shared" si="10"/>
        <v>0</v>
      </c>
      <c r="AA27" s="123">
        <f t="shared" si="4"/>
        <v>0</v>
      </c>
      <c r="AB27" s="123">
        <f t="shared" si="5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4</v>
      </c>
      <c r="AL27" s="123">
        <f>AI27-AJ27</f>
        <v>-3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0.20075175000000001</v>
      </c>
      <c r="AQ27" s="126">
        <f>VLOOKUP(AE27,db_fifarank,2,FALSE)</f>
        <v>1503.5</v>
      </c>
      <c r="AR27" s="125">
        <f>AP27/AP30</f>
        <v>2.230574738506339E-9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6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2 - 1</v>
      </c>
      <c r="P28" s="34">
        <f>L28*3+M28</f>
        <v>6</v>
      </c>
      <c r="R28" s="123">
        <f>DATE(2026,6,17)+TIME(9,0,0)+gmt_delta</f>
        <v>46190.833333333336</v>
      </c>
      <c r="S28" s="127" t="str">
        <f t="shared" si="0"/>
        <v>England_win</v>
      </c>
      <c r="T28" s="127" t="str">
        <f t="shared" si="1"/>
        <v>Croatia_lose</v>
      </c>
      <c r="U28" s="123">
        <f t="shared" si="7"/>
        <v>0</v>
      </c>
      <c r="V28" s="123">
        <f t="shared" si="2"/>
        <v>0</v>
      </c>
      <c r="W28" s="123">
        <f t="shared" si="3"/>
        <v>0</v>
      </c>
      <c r="X28" s="123">
        <f t="shared" si="8"/>
        <v>0</v>
      </c>
      <c r="Y28" s="123">
        <f t="shared" si="9"/>
        <v>0</v>
      </c>
      <c r="Z28" s="123">
        <f t="shared" si="10"/>
        <v>0</v>
      </c>
      <c r="AA28" s="123">
        <f t="shared" si="4"/>
        <v>0</v>
      </c>
      <c r="AB28" s="123">
        <f t="shared" si="5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4</v>
      </c>
      <c r="AL28" s="123">
        <f>AI28-AJ28</f>
        <v>-2</v>
      </c>
      <c r="AM28" s="123">
        <f>AL28-AL30</f>
        <v>1</v>
      </c>
      <c r="AN28" s="123">
        <f>AF28*3+AG28</f>
        <v>3</v>
      </c>
      <c r="AO28" s="123">
        <f>AN28/AN30*10+BA28</f>
        <v>3</v>
      </c>
      <c r="AP28" s="123">
        <f>AO28*10000000+BI28*100+AM28/AM30*10+AI28/AI30*1++IF(AQ28=0,ROW(),AQ28)/2000000</f>
        <v>30000001.650790334</v>
      </c>
      <c r="AQ28" s="126">
        <f>VLOOKUP(AE28,db_fifarank,2,FALSE)</f>
        <v>1580.67</v>
      </c>
      <c r="AR28" s="125">
        <f>AP28/AP30</f>
        <v>0.33333331259827814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6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2 - 4</v>
      </c>
      <c r="P29" s="34">
        <f>L29*3+M29</f>
        <v>3</v>
      </c>
      <c r="R29" s="123">
        <f>DATE(2026,6,17)+TIME(6,0,0)+gmt_delta</f>
        <v>46190.708333333336</v>
      </c>
      <c r="S29" s="127" t="str">
        <f t="shared" si="0"/>
        <v>Portugal_win</v>
      </c>
      <c r="T29" s="127" t="str">
        <f t="shared" si="1"/>
        <v>DR Congo_lose</v>
      </c>
      <c r="U29" s="123">
        <f t="shared" si="7"/>
        <v>0</v>
      </c>
      <c r="V29" s="123">
        <f t="shared" si="2"/>
        <v>0</v>
      </c>
      <c r="W29" s="123">
        <f t="shared" si="3"/>
        <v>0</v>
      </c>
      <c r="X29" s="123">
        <f t="shared" si="8"/>
        <v>0</v>
      </c>
      <c r="Y29" s="123">
        <f t="shared" si="9"/>
        <v>0</v>
      </c>
      <c r="Z29" s="123">
        <f t="shared" si="10"/>
        <v>0</v>
      </c>
      <c r="AA29" s="123">
        <f t="shared" si="4"/>
        <v>0</v>
      </c>
      <c r="AB29" s="123">
        <f t="shared" si="5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2</v>
      </c>
      <c r="AJ29" s="123">
        <f>SUMIF($E$7:$E$78,$AE29,$G$7:$G$78) + SUMIF($H$7:$H$78,$AE29,$F$7:$F$78)</f>
        <v>1</v>
      </c>
      <c r="AL29" s="123">
        <f>AI29-AJ29</f>
        <v>1</v>
      </c>
      <c r="AM29" s="123">
        <f>AL29-AL30</f>
        <v>4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60000005.40079952</v>
      </c>
      <c r="AQ29" s="126">
        <f>VLOOKUP(AE29,db_fifarank,2,FALSE)</f>
        <v>1599.04</v>
      </c>
      <c r="AR29" s="125">
        <f>AP29/AP30</f>
        <v>0.66666664852120749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6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1 - 4</v>
      </c>
      <c r="P30" s="37">
        <f>L30*3+M30</f>
        <v>0</v>
      </c>
      <c r="R30" s="123">
        <f>DATE(2026,6,17)+TIME(15,0,0)+gmt_delta</f>
        <v>46191.083333333336</v>
      </c>
      <c r="S30" s="127" t="str">
        <f t="shared" si="0"/>
        <v>Uzbekistan_lose</v>
      </c>
      <c r="T30" s="127" t="str">
        <f t="shared" si="1"/>
        <v>Colombia_win</v>
      </c>
      <c r="U30" s="123">
        <f t="shared" si="7"/>
        <v>0</v>
      </c>
      <c r="V30" s="123">
        <f t="shared" si="2"/>
        <v>0</v>
      </c>
      <c r="W30" s="123">
        <f t="shared" si="3"/>
        <v>0</v>
      </c>
      <c r="X30" s="123">
        <f t="shared" si="8"/>
        <v>0</v>
      </c>
      <c r="Y30" s="123">
        <f t="shared" si="9"/>
        <v>0</v>
      </c>
      <c r="Z30" s="123">
        <f t="shared" si="10"/>
        <v>0</v>
      </c>
      <c r="AA30" s="123">
        <f t="shared" si="4"/>
        <v>0</v>
      </c>
      <c r="AB30" s="123">
        <f t="shared" si="5"/>
        <v>-1</v>
      </c>
      <c r="AF30" s="123">
        <f>MAX(AF26:AF29)-MIN(AF26:AF29)+1</f>
        <v>4</v>
      </c>
      <c r="AG30" s="123">
        <f>MAX(AG26:AG29)-MIN(AG26:AG29)+1</f>
        <v>1</v>
      </c>
      <c r="AH30" s="123">
        <f>MAX(AH26:AH29)-MIN(AH26:AH29)+1</f>
        <v>4</v>
      </c>
      <c r="AI30" s="123">
        <f>MAX(AI26:AI29)+1</f>
        <v>5</v>
      </c>
      <c r="AL30" s="123">
        <f>MIN(AL26:AL29)</f>
        <v>-3</v>
      </c>
      <c r="AM30" s="123">
        <f>MAX(AM26:AM29)+1</f>
        <v>8</v>
      </c>
      <c r="AN30" s="123">
        <f>MAX(AN26:AN29)+1</f>
        <v>10</v>
      </c>
      <c r="AO30" s="123">
        <f>MAX(AO26:AO29)+1</f>
        <v>10</v>
      </c>
      <c r="AP30" s="123">
        <f>MAX(AP26:AP29)+1</f>
        <v>90000010.550836563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6"/>
        <v>0.66666666666666663</v>
      </c>
      <c r="E31" s="78" t="str">
        <f>AE11</f>
        <v>Czech Republic</v>
      </c>
      <c r="F31" s="19">
        <v>0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0"/>
        <v>Czech Republic_lose</v>
      </c>
      <c r="T31" s="127" t="str">
        <f t="shared" si="1"/>
        <v>South Africa_win</v>
      </c>
      <c r="U31" s="123">
        <f t="shared" si="7"/>
        <v>0</v>
      </c>
      <c r="V31" s="123">
        <f t="shared" si="2"/>
        <v>0</v>
      </c>
      <c r="W31" s="123">
        <f t="shared" si="3"/>
        <v>0</v>
      </c>
      <c r="X31" s="123">
        <f t="shared" si="8"/>
        <v>0</v>
      </c>
      <c r="Y31" s="123">
        <f t="shared" si="9"/>
        <v>0</v>
      </c>
      <c r="Z31" s="123">
        <f t="shared" si="10"/>
        <v>0</v>
      </c>
      <c r="AA31" s="123">
        <f t="shared" si="4"/>
        <v>0</v>
      </c>
      <c r="AB31" s="123">
        <f t="shared" si="5"/>
        <v>-1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6"/>
        <v>0.79166666666666663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0"/>
        <v>Switzerland_win</v>
      </c>
      <c r="T32" s="127" t="str">
        <f t="shared" si="1"/>
        <v>Bosnia and Herzegovina_lose</v>
      </c>
      <c r="U32" s="123">
        <f t="shared" si="7"/>
        <v>0</v>
      </c>
      <c r="V32" s="123">
        <f t="shared" si="2"/>
        <v>0</v>
      </c>
      <c r="W32" s="123">
        <f t="shared" si="3"/>
        <v>0</v>
      </c>
      <c r="X32" s="123">
        <f t="shared" si="8"/>
        <v>0</v>
      </c>
      <c r="Y32" s="123">
        <f t="shared" si="9"/>
        <v>0</v>
      </c>
      <c r="Z32" s="123">
        <f t="shared" si="10"/>
        <v>0</v>
      </c>
      <c r="AA32" s="123">
        <f t="shared" si="4"/>
        <v>0</v>
      </c>
      <c r="AB32" s="123">
        <f t="shared" si="5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10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90000009.966774285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6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0"/>
        <v>Canada_win</v>
      </c>
      <c r="T33" s="127" t="str">
        <f t="shared" si="1"/>
        <v>Qatar_lose</v>
      </c>
      <c r="U33" s="123">
        <f t="shared" si="7"/>
        <v>0</v>
      </c>
      <c r="V33" s="123">
        <f t="shared" si="2"/>
        <v>0</v>
      </c>
      <c r="W33" s="123">
        <f t="shared" si="3"/>
        <v>0</v>
      </c>
      <c r="X33" s="123">
        <f t="shared" si="8"/>
        <v>0</v>
      </c>
      <c r="Y33" s="123">
        <f t="shared" si="9"/>
        <v>0</v>
      </c>
      <c r="Z33" s="123">
        <f t="shared" si="10"/>
        <v>0</v>
      </c>
      <c r="AA33" s="123">
        <f t="shared" si="4"/>
        <v>0</v>
      </c>
      <c r="AB33" s="123">
        <f t="shared" si="5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6</v>
      </c>
      <c r="AL33" s="123">
        <f>AI33-AJ33</f>
        <v>-5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0.125647325</v>
      </c>
      <c r="AQ33" s="126">
        <f>VLOOKUP(AE33,db_fifarank,2,FALSE)</f>
        <v>1294.6500000000001</v>
      </c>
      <c r="AR33" s="125">
        <f>AP33/AP36</f>
        <v>1.3960812187721377E-9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Senegal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6"/>
        <v>4.1666666666666664E-2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3 - 3</v>
      </c>
      <c r="P34" s="34">
        <f>L34*3+M34</f>
        <v>6</v>
      </c>
      <c r="R34" s="123">
        <f>DATE(2026,6,18)+TIME(14,0,0)+gmt_delta</f>
        <v>46192.041666666672</v>
      </c>
      <c r="S34" s="127" t="str">
        <f t="shared" si="0"/>
        <v>Mexico_win</v>
      </c>
      <c r="T34" s="127" t="str">
        <f t="shared" si="1"/>
        <v>Korea Republic_lose</v>
      </c>
      <c r="U34" s="123">
        <f t="shared" si="7"/>
        <v>0</v>
      </c>
      <c r="V34" s="123">
        <f t="shared" si="2"/>
        <v>0</v>
      </c>
      <c r="W34" s="123">
        <f t="shared" si="3"/>
        <v>0</v>
      </c>
      <c r="X34" s="123">
        <f t="shared" si="8"/>
        <v>0</v>
      </c>
      <c r="Y34" s="123">
        <f t="shared" si="9"/>
        <v>0</v>
      </c>
      <c r="Z34" s="123">
        <f t="shared" si="10"/>
        <v>0</v>
      </c>
      <c r="AA34" s="123">
        <f t="shared" si="4"/>
        <v>0</v>
      </c>
      <c r="AB34" s="123">
        <f t="shared" si="5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5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60000004.92122104</v>
      </c>
      <c r="AQ34" s="126">
        <f>VLOOKUP(AE34,db_fifarank,2,FALSE)</f>
        <v>1532.98</v>
      </c>
      <c r="AR34" s="125">
        <f>AP34/AP36</f>
        <v>0.66666664011153864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6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4 - 4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0"/>
        <v>Brazil_win</v>
      </c>
      <c r="T35" s="127" t="str">
        <f t="shared" si="1"/>
        <v>Haiti_lose</v>
      </c>
      <c r="U35" s="123">
        <f t="shared" si="7"/>
        <v>0</v>
      </c>
      <c r="V35" s="123">
        <f t="shared" si="2"/>
        <v>0</v>
      </c>
      <c r="W35" s="123">
        <f t="shared" si="3"/>
        <v>0</v>
      </c>
      <c r="X35" s="123">
        <f t="shared" si="8"/>
        <v>0</v>
      </c>
      <c r="Y35" s="123">
        <f t="shared" si="9"/>
        <v>0</v>
      </c>
      <c r="Z35" s="123">
        <f t="shared" si="10"/>
        <v>0</v>
      </c>
      <c r="AA35" s="123">
        <f t="shared" si="4"/>
        <v>0</v>
      </c>
      <c r="AB35" s="123">
        <f t="shared" si="5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5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30000005.046251938</v>
      </c>
      <c r="AQ35" s="126">
        <f>VLOOKUP(AE35,db_fifarank,2,FALSE)</f>
        <v>1594.78</v>
      </c>
      <c r="AR35" s="125">
        <f>AP35/AP36</f>
        <v>0.33333334878511489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6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1 - 6</v>
      </c>
      <c r="P36" s="37">
        <f>L36*3+M36</f>
        <v>0</v>
      </c>
      <c r="R36" s="123">
        <f>DATE(2026,6,19)+TIME(11,0,0)+gmt_delta</f>
        <v>46192.916666666672</v>
      </c>
      <c r="S36" s="127" t="str">
        <f t="shared" si="0"/>
        <v>Scotland_lose</v>
      </c>
      <c r="T36" s="127" t="str">
        <f t="shared" si="1"/>
        <v>Morocco_win</v>
      </c>
      <c r="U36" s="123">
        <f t="shared" si="7"/>
        <v>0</v>
      </c>
      <c r="V36" s="123">
        <f t="shared" si="2"/>
        <v>0</v>
      </c>
      <c r="W36" s="123">
        <f t="shared" si="3"/>
        <v>0</v>
      </c>
      <c r="X36" s="123">
        <f t="shared" si="8"/>
        <v>0</v>
      </c>
      <c r="Y36" s="123">
        <f t="shared" si="9"/>
        <v>0</v>
      </c>
      <c r="Z36" s="123">
        <f t="shared" si="10"/>
        <v>0</v>
      </c>
      <c r="AA36" s="123">
        <f t="shared" si="4"/>
        <v>0</v>
      </c>
      <c r="AB36" s="123">
        <f t="shared" si="5"/>
        <v>-1</v>
      </c>
      <c r="AF36" s="123">
        <f>MAX(AF32:AF35)-MIN(AF32:AF35)+1</f>
        <v>4</v>
      </c>
      <c r="AG36" s="123">
        <f>MAX(AG32:AG35)-MIN(AG32:AG35)+1</f>
        <v>1</v>
      </c>
      <c r="AH36" s="123">
        <f>MAX(AH32:AH35)-MIN(AH32:AH35)+1</f>
        <v>4</v>
      </c>
      <c r="AI36" s="123">
        <f>MAX(AI32:AI35)+1</f>
        <v>8</v>
      </c>
      <c r="AL36" s="123">
        <f>MIN(AL32:AL35)</f>
        <v>-5</v>
      </c>
      <c r="AM36" s="123">
        <f>MAX(AM32:AM35)+1</f>
        <v>11</v>
      </c>
      <c r="AN36" s="123">
        <f>MAX(AN32:AN35)+1</f>
        <v>10</v>
      </c>
      <c r="AO36" s="123">
        <f>MAX(AO32:AO35)+1</f>
        <v>10</v>
      </c>
      <c r="AP36" s="123">
        <f>MAX(AP32:AP35)+1</f>
        <v>90000010.966774285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2</v>
      </c>
      <c r="BU36" s="63">
        <v>2</v>
      </c>
      <c r="BV36" s="25">
        <v>0</v>
      </c>
      <c r="BW36" s="116">
        <f>IF(OR(BT36="",BT37="",AND(BU36="",BU37&lt;&gt;""),AND(BU37="",BU36&lt;&gt;""),AND(BV36="",BV37&lt;&gt;""),AND(BV37="",BV36&lt;&gt;"")),"",BT36*1000+BU36*10+BV36)</f>
        <v>2020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6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0"/>
        <v>United States_win</v>
      </c>
      <c r="T37" s="127" t="str">
        <f t="shared" si="1"/>
        <v>Australia_lose</v>
      </c>
      <c r="U37" s="123">
        <f t="shared" si="7"/>
        <v>0</v>
      </c>
      <c r="V37" s="123">
        <f t="shared" si="2"/>
        <v>0</v>
      </c>
      <c r="W37" s="123">
        <f t="shared" si="3"/>
        <v>0</v>
      </c>
      <c r="X37" s="123">
        <f t="shared" si="8"/>
        <v>0</v>
      </c>
      <c r="Y37" s="123">
        <f t="shared" si="9"/>
        <v>0</v>
      </c>
      <c r="Z37" s="123">
        <f t="shared" si="10"/>
        <v>0</v>
      </c>
      <c r="AA37" s="123">
        <f t="shared" si="4"/>
        <v>0</v>
      </c>
      <c r="AB37" s="123">
        <f t="shared" si="5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Senegal</v>
      </c>
      <c r="BT37" s="62">
        <v>2</v>
      </c>
      <c r="BU37" s="64">
        <v>2</v>
      </c>
      <c r="BV37" s="27">
        <v>1</v>
      </c>
      <c r="BW37" s="112">
        <f>IF(BW36="","",BT37*1000+BU37*10+BV37)</f>
        <v>2021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6"/>
        <v>0.79166666666666663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0"/>
        <v>Turkey_win</v>
      </c>
      <c r="T38" s="127" t="str">
        <f t="shared" si="1"/>
        <v>Paraguay_lose</v>
      </c>
      <c r="U38" s="123">
        <f t="shared" si="7"/>
        <v>0</v>
      </c>
      <c r="V38" s="123">
        <f t="shared" si="2"/>
        <v>0</v>
      </c>
      <c r="W38" s="123">
        <f t="shared" si="3"/>
        <v>0</v>
      </c>
      <c r="X38" s="123">
        <f t="shared" si="8"/>
        <v>0</v>
      </c>
      <c r="Y38" s="123">
        <f t="shared" si="9"/>
        <v>0</v>
      </c>
      <c r="Z38" s="123">
        <f t="shared" si="10"/>
        <v>0</v>
      </c>
      <c r="AA38" s="123">
        <f t="shared" si="4"/>
        <v>0</v>
      </c>
      <c r="AB38" s="123">
        <f t="shared" si="5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1</v>
      </c>
      <c r="AL38" s="123">
        <f>AI38-AJ38</f>
        <v>5</v>
      </c>
      <c r="AM38" s="123">
        <f>AL38-AL42</f>
        <v>8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90000009.746910676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>
        <v>1</v>
      </c>
      <c r="BO38" s="25">
        <v>0</v>
      </c>
      <c r="BP38" s="116">
        <f>IF(OR(BM38="",BM39="",AND(BN38="",BN39&lt;&gt;""),AND(BN39="",BN38&lt;&gt;""),AND(BO38="",BO39&lt;&gt;""),AND(BO39="",BO38&lt;&gt;"")),"",BM38*1000+BN38*10+BO38)</f>
        <v>1010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6"/>
        <v>0.83333333333333337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6 - 1</v>
      </c>
      <c r="P39" s="32">
        <f>L39*3+M39</f>
        <v>9</v>
      </c>
      <c r="R39" s="123">
        <f>DATE(2026,6,20)+TIME(9,0,0)+gmt_delta</f>
        <v>46193.833333333336</v>
      </c>
      <c r="S39" s="127" t="str">
        <f t="shared" si="0"/>
        <v>Germany_win</v>
      </c>
      <c r="T39" s="127" t="str">
        <f t="shared" si="1"/>
        <v>Ivory Coast_lose</v>
      </c>
      <c r="U39" s="123">
        <f t="shared" si="7"/>
        <v>0</v>
      </c>
      <c r="V39" s="123">
        <f t="shared" si="2"/>
        <v>0</v>
      </c>
      <c r="W39" s="123">
        <f t="shared" si="3"/>
        <v>0</v>
      </c>
      <c r="X39" s="123">
        <f t="shared" si="8"/>
        <v>0</v>
      </c>
      <c r="Y39" s="123">
        <f t="shared" si="9"/>
        <v>0</v>
      </c>
      <c r="Z39" s="123">
        <f t="shared" si="10"/>
        <v>0</v>
      </c>
      <c r="AA39" s="123">
        <f t="shared" ref="AA39:AA70" si="11">IF(OR(E39=my_team,H39=my_team),1,IF(INT(MATCH(E39,$AE$8:$AE$78,0)/6)=$AA$6,1,0))</f>
        <v>0</v>
      </c>
      <c r="AB39" s="123">
        <f t="shared" si="5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2</v>
      </c>
      <c r="AL39" s="123">
        <f>AI39-AJ39</f>
        <v>0</v>
      </c>
      <c r="AM39" s="123">
        <f>AL39-AL42</f>
        <v>3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60000003.619877838</v>
      </c>
      <c r="AQ39" s="126">
        <f>VLOOKUP(AE39,db_fifarank,2,FALSE)</f>
        <v>1660.43</v>
      </c>
      <c r="AR39" s="125">
        <f>AP39/AP42</f>
        <v>0.66666662728079051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Senegal</v>
      </c>
      <c r="BM39" s="62">
        <v>1</v>
      </c>
      <c r="BN39" s="64">
        <v>1</v>
      </c>
      <c r="BO39" s="27">
        <v>1</v>
      </c>
      <c r="BP39" s="112">
        <f>IF(BP38="","",BM39*1000+BN39*10+BO39)</f>
        <v>1011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6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2 - 2</v>
      </c>
      <c r="P40" s="34">
        <f>L40*3+M40</f>
        <v>6</v>
      </c>
      <c r="R40" s="123">
        <f>DATE(2026,6,20)+TIME(13,0,0)+gmt_delta</f>
        <v>46194</v>
      </c>
      <c r="S40" s="127" t="str">
        <f t="shared" si="0"/>
        <v>Ecuador_win</v>
      </c>
      <c r="T40" s="127" t="str">
        <f t="shared" si="1"/>
        <v>Curaçao_lose</v>
      </c>
      <c r="U40" s="123">
        <f t="shared" si="7"/>
        <v>0</v>
      </c>
      <c r="V40" s="123">
        <f t="shared" si="2"/>
        <v>0</v>
      </c>
      <c r="W40" s="123">
        <f t="shared" si="3"/>
        <v>0</v>
      </c>
      <c r="X40" s="123">
        <f t="shared" si="8"/>
        <v>0</v>
      </c>
      <c r="Y40" s="123">
        <f t="shared" si="9"/>
        <v>0</v>
      </c>
      <c r="Z40" s="123">
        <f t="shared" si="10"/>
        <v>0</v>
      </c>
      <c r="AA40" s="123">
        <f t="shared" si="11"/>
        <v>0</v>
      </c>
      <c r="AB40" s="123">
        <f t="shared" si="5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3</v>
      </c>
      <c r="AL40" s="123">
        <f>AI40-AJ40</f>
        <v>-2</v>
      </c>
      <c r="AM40" s="123">
        <f>AL40-AL42</f>
        <v>1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30000001.254725639</v>
      </c>
      <c r="AQ40" s="126">
        <f>VLOOKUP(AE40,db_fifarank,2,FALSE)</f>
        <v>1514.77</v>
      </c>
      <c r="AR40" s="125">
        <f>AP40/AP42</f>
        <v>0.33333330747135953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6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1 - 3</v>
      </c>
      <c r="P41" s="34">
        <f>L41*3+M41</f>
        <v>3</v>
      </c>
      <c r="R41" s="123">
        <f>DATE(2026,6,20)+TIME(6,0,0)+gmt_delta</f>
        <v>46193.708333333336</v>
      </c>
      <c r="S41" s="127" t="str">
        <f t="shared" si="0"/>
        <v>Netherlands_win</v>
      </c>
      <c r="T41" s="127" t="str">
        <f t="shared" si="1"/>
        <v>Sweden_lose</v>
      </c>
      <c r="U41" s="123">
        <f t="shared" si="7"/>
        <v>0</v>
      </c>
      <c r="V41" s="123">
        <f t="shared" si="2"/>
        <v>0</v>
      </c>
      <c r="W41" s="123">
        <f t="shared" si="3"/>
        <v>0</v>
      </c>
      <c r="X41" s="123">
        <f t="shared" si="8"/>
        <v>0</v>
      </c>
      <c r="Y41" s="123">
        <f t="shared" si="9"/>
        <v>0</v>
      </c>
      <c r="Z41" s="123">
        <f t="shared" si="10"/>
        <v>0</v>
      </c>
      <c r="AA41" s="123">
        <f t="shared" si="11"/>
        <v>0</v>
      </c>
      <c r="AB41" s="123">
        <f t="shared" si="5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4</v>
      </c>
      <c r="AL41" s="123">
        <f>AI41-AJ41</f>
        <v>-3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1.5955405634445658E-9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6"/>
        <v>0.16666666666666666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1 - 4</v>
      </c>
      <c r="P42" s="37">
        <f>L42*3+M42</f>
        <v>0</v>
      </c>
      <c r="R42" s="123">
        <f>DATE(2026,6,20)+TIME(17,0,0)+gmt_delta</f>
        <v>46194.166666666672</v>
      </c>
      <c r="S42" s="127" t="str">
        <f t="shared" si="0"/>
        <v>Tunisia_lose</v>
      </c>
      <c r="T42" s="127" t="str">
        <f t="shared" si="1"/>
        <v>Japan_win</v>
      </c>
      <c r="U42" s="123">
        <f t="shared" si="7"/>
        <v>0</v>
      </c>
      <c r="V42" s="123">
        <f t="shared" si="2"/>
        <v>0</v>
      </c>
      <c r="W42" s="123">
        <f t="shared" si="3"/>
        <v>0</v>
      </c>
      <c r="X42" s="123">
        <f t="shared" si="8"/>
        <v>0</v>
      </c>
      <c r="Y42" s="123">
        <f t="shared" si="9"/>
        <v>0</v>
      </c>
      <c r="Z42" s="123">
        <f t="shared" si="10"/>
        <v>0</v>
      </c>
      <c r="AA42" s="123">
        <f t="shared" si="11"/>
        <v>0</v>
      </c>
      <c r="AB42" s="123">
        <f t="shared" si="5"/>
        <v>-1</v>
      </c>
      <c r="AF42" s="123">
        <f>MAX(AF38:AF41)-MIN(AF38:AF41)+1</f>
        <v>4</v>
      </c>
      <c r="AG42" s="123">
        <f>MAX(AG38:AG41)-MIN(AG38:AG41)+1</f>
        <v>1</v>
      </c>
      <c r="AH42" s="123">
        <f>MAX(AH38:AH41)-MIN(AH38:AH41)+1</f>
        <v>4</v>
      </c>
      <c r="AI42" s="123">
        <f>MAX(AI38:AI41)+1</f>
        <v>7</v>
      </c>
      <c r="AL42" s="123">
        <f>MIN(AL38:AL41)</f>
        <v>-3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90000010.746910676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6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0"/>
        <v>Uruguay_win</v>
      </c>
      <c r="T43" s="127" t="str">
        <f t="shared" si="1"/>
        <v>Cape Verde_lose</v>
      </c>
      <c r="U43" s="123">
        <f t="shared" si="7"/>
        <v>0</v>
      </c>
      <c r="V43" s="123">
        <f t="shared" si="2"/>
        <v>0</v>
      </c>
      <c r="W43" s="123">
        <f t="shared" si="3"/>
        <v>0</v>
      </c>
      <c r="X43" s="123">
        <f t="shared" si="8"/>
        <v>0</v>
      </c>
      <c r="Y43" s="123">
        <f t="shared" si="9"/>
        <v>0</v>
      </c>
      <c r="Z43" s="123">
        <f t="shared" si="10"/>
        <v>0</v>
      </c>
      <c r="AA43" s="123">
        <f t="shared" si="11"/>
        <v>0</v>
      </c>
      <c r="AB43" s="123">
        <f t="shared" si="5"/>
        <v>1</v>
      </c>
      <c r="BK43" s="14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6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0"/>
        <v>Spain_win</v>
      </c>
      <c r="T44" s="127" t="str">
        <f t="shared" si="1"/>
        <v>Saudi Arabia_lose</v>
      </c>
      <c r="U44" s="123">
        <f t="shared" si="7"/>
        <v>0</v>
      </c>
      <c r="V44" s="123">
        <f t="shared" si="2"/>
        <v>0</v>
      </c>
      <c r="W44" s="123">
        <f t="shared" si="3"/>
        <v>0</v>
      </c>
      <c r="X44" s="123">
        <f t="shared" si="8"/>
        <v>0</v>
      </c>
      <c r="Y44" s="123">
        <f t="shared" si="9"/>
        <v>0</v>
      </c>
      <c r="Z44" s="123">
        <f t="shared" si="10"/>
        <v>0</v>
      </c>
      <c r="AA44" s="123">
        <f t="shared" si="11"/>
        <v>0</v>
      </c>
      <c r="AB44" s="123">
        <f t="shared" si="5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1</v>
      </c>
      <c r="AL44" s="123">
        <f>AI44-AJ44</f>
        <v>4</v>
      </c>
      <c r="AM44" s="123">
        <f>AL44-AL48</f>
        <v>8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87500009.723089576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6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5 - 1</v>
      </c>
      <c r="P45" s="32">
        <f>L45*3+M45</f>
        <v>7</v>
      </c>
      <c r="R45" s="123">
        <f>DATE(2026,6,21)+TIME(8,0,0)+gmt_delta</f>
        <v>46194.791666666672</v>
      </c>
      <c r="S45" s="127" t="str">
        <f t="shared" si="0"/>
        <v>Belgium_win</v>
      </c>
      <c r="T45" s="127" t="str">
        <f t="shared" si="1"/>
        <v>Iran_lose</v>
      </c>
      <c r="U45" s="123">
        <f t="shared" si="7"/>
        <v>0</v>
      </c>
      <c r="V45" s="123">
        <f t="shared" si="2"/>
        <v>0</v>
      </c>
      <c r="W45" s="123">
        <f t="shared" si="3"/>
        <v>0</v>
      </c>
      <c r="X45" s="123">
        <f t="shared" si="8"/>
        <v>0</v>
      </c>
      <c r="Y45" s="123">
        <f t="shared" si="9"/>
        <v>0</v>
      </c>
      <c r="Z45" s="123">
        <f t="shared" si="10"/>
        <v>0</v>
      </c>
      <c r="AA45" s="123">
        <f t="shared" si="11"/>
        <v>0</v>
      </c>
      <c r="AB45" s="123">
        <f t="shared" si="5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2</v>
      </c>
      <c r="AH45" s="123">
        <f>COUNTIF($S$7:$T$78,"=" &amp; AE45 &amp; "_lose")</f>
        <v>0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5</v>
      </c>
      <c r="AN45" s="123">
        <f>AF45*3+AG45</f>
        <v>5</v>
      </c>
      <c r="AO45" s="123">
        <f>AN45/AN48*10+BA45</f>
        <v>6.25</v>
      </c>
      <c r="AP45" s="123">
        <f>AO45*10000000+BI45*100+AM45/AM48*10+AI45/AI48*1++IF(AQ45=0,ROW(),AQ45)/2000000</f>
        <v>62500006.223003834</v>
      </c>
      <c r="AQ45" s="126">
        <f>VLOOKUP(AE45,db_fifarank,2,FALSE)</f>
        <v>1563.24</v>
      </c>
      <c r="AR45" s="125">
        <f>AP45/AP48</f>
        <v>0.71428569787033502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6"/>
        <v>4.1666666666666664E-2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4 - 3</v>
      </c>
      <c r="P46" s="34">
        <f>L46*3+M46</f>
        <v>5</v>
      </c>
      <c r="R46" s="123">
        <f>DATE(2026,6,21)+TIME(14,0,0)+gmt_delta</f>
        <v>46195.041666666672</v>
      </c>
      <c r="S46" s="127" t="str">
        <f t="shared" si="0"/>
        <v>New Zealand_lose</v>
      </c>
      <c r="T46" s="127" t="str">
        <f t="shared" si="1"/>
        <v>Egypt_win</v>
      </c>
      <c r="U46" s="123">
        <f t="shared" si="7"/>
        <v>0</v>
      </c>
      <c r="V46" s="123">
        <f t="shared" si="2"/>
        <v>0</v>
      </c>
      <c r="W46" s="123">
        <f t="shared" si="3"/>
        <v>0</v>
      </c>
      <c r="X46" s="123">
        <f t="shared" si="8"/>
        <v>0</v>
      </c>
      <c r="Y46" s="123">
        <f t="shared" si="9"/>
        <v>0</v>
      </c>
      <c r="Z46" s="123">
        <f t="shared" si="10"/>
        <v>0</v>
      </c>
      <c r="AA46" s="123">
        <f t="shared" si="11"/>
        <v>0</v>
      </c>
      <c r="AB46" s="123">
        <f t="shared" si="5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3</v>
      </c>
      <c r="AL46" s="123">
        <f>AI46-AJ46</f>
        <v>-1</v>
      </c>
      <c r="AM46" s="123">
        <f>AL46-AL48</f>
        <v>3</v>
      </c>
      <c r="AN46" s="123">
        <f>AF46*3+AG46</f>
        <v>4</v>
      </c>
      <c r="AO46" s="123">
        <f>AN46/AN48*10+BA46</f>
        <v>5</v>
      </c>
      <c r="AP46" s="123">
        <f>AO46*10000000+BI46*100+AM46/AM48*10+AI46/AI48*1++IF(AQ46=0,ROW(),AQ46)/2000000</f>
        <v>50000003.667474322</v>
      </c>
      <c r="AQ46" s="126">
        <f>VLOOKUP(AE46,db_fifarank,2,FALSE)</f>
        <v>1615.3</v>
      </c>
      <c r="AR46" s="125">
        <f>AP46/AP48</f>
        <v>0.57142854331422699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6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4</v>
      </c>
      <c r="R47" s="123">
        <f>DATE(2026,6,22)+TIME(13,0,0)+gmt_delta</f>
        <v>46196</v>
      </c>
      <c r="S47" s="127" t="str">
        <f t="shared" ref="S47:S78" si="12">IF(OR(F47="",G47=""),"",IF(F47&gt;G47,E47&amp;"_win",IF(F47&lt;G47,E47&amp;"_lose",E47&amp;"_draw")))</f>
        <v>Norway_win</v>
      </c>
      <c r="T47" s="127" t="str">
        <f t="shared" ref="T47:T78" si="13">IF(S47="","",IF(F47&lt;G47,H47&amp;"_win",IF(F47&gt;G47,H47&amp;"_lose",H47&amp;"_draw")))</f>
        <v>Senegal_lose</v>
      </c>
      <c r="U47" s="123">
        <f t="shared" si="7"/>
        <v>0</v>
      </c>
      <c r="V47" s="123">
        <f t="shared" ref="V47:V78" si="14">U47*F47</f>
        <v>0</v>
      </c>
      <c r="W47" s="123">
        <f t="shared" ref="W47:W78" si="15">U47*G47</f>
        <v>0</v>
      </c>
      <c r="X47" s="123">
        <f t="shared" si="8"/>
        <v>0</v>
      </c>
      <c r="Y47" s="123">
        <f t="shared" si="9"/>
        <v>0</v>
      </c>
      <c r="Z47" s="123">
        <f t="shared" si="10"/>
        <v>0</v>
      </c>
      <c r="AA47" s="123">
        <f t="shared" si="11"/>
        <v>0</v>
      </c>
      <c r="AB47" s="123">
        <f t="shared" ref="AB47:AB78" si="16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0.16730745166666666</v>
      </c>
      <c r="AQ47" s="126">
        <f>VLOOKUP(AE47,db_fifarank,2,FALSE)</f>
        <v>1281.57</v>
      </c>
      <c r="AR47" s="125">
        <f>AP47/AP48</f>
        <v>1.9120849275795282E-9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6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1 - 5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2"/>
        <v>France_win</v>
      </c>
      <c r="T48" s="127" t="str">
        <f t="shared" si="13"/>
        <v>Iraq_lose</v>
      </c>
      <c r="U48" s="123">
        <f t="shared" si="7"/>
        <v>0</v>
      </c>
      <c r="V48" s="123">
        <f t="shared" si="14"/>
        <v>0</v>
      </c>
      <c r="W48" s="123">
        <f t="shared" si="15"/>
        <v>0</v>
      </c>
      <c r="X48" s="123">
        <f t="shared" si="8"/>
        <v>0</v>
      </c>
      <c r="Y48" s="123">
        <f t="shared" si="9"/>
        <v>0</v>
      </c>
      <c r="Z48" s="123">
        <f t="shared" si="10"/>
        <v>0</v>
      </c>
      <c r="AA48" s="123">
        <f t="shared" si="11"/>
        <v>0</v>
      </c>
      <c r="AB48" s="123">
        <f t="shared" si="16"/>
        <v>1</v>
      </c>
      <c r="AF48" s="123">
        <f>MAX(AF44:AF47)-MIN(AF44:AF47)+1</f>
        <v>3</v>
      </c>
      <c r="AG48" s="123">
        <f>MAX(AG44:AG47)-MIN(AG44:AG47)+1</f>
        <v>3</v>
      </c>
      <c r="AH48" s="123">
        <f>MAX(AH44:AH47)-MIN(AH44:AH47)+1</f>
        <v>4</v>
      </c>
      <c r="AI48" s="123">
        <f>MAX(AI44:AI47)+1</f>
        <v>6</v>
      </c>
      <c r="AL48" s="123">
        <f>MIN(AL44:AL47)</f>
        <v>-4</v>
      </c>
      <c r="AM48" s="123">
        <f>MAX(AM44:AM47)+1</f>
        <v>9</v>
      </c>
      <c r="AN48" s="123">
        <f>MAX(AN44:AN47)+1</f>
        <v>8</v>
      </c>
      <c r="AO48" s="123">
        <f>MAX(AO44:AO47)+1</f>
        <v>9.75</v>
      </c>
      <c r="AP48" s="123">
        <f>MAX(AP44:AP47)+1</f>
        <v>87500010.723089576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2</v>
      </c>
      <c r="CB48" s="63">
        <v>2</v>
      </c>
      <c r="CC48" s="25">
        <v>1</v>
      </c>
      <c r="CD48" s="112">
        <f>IF(OR(CA48="",CA49="",AND(CB48="",CB49&lt;&gt;""),AND(CB49="",CB48&lt;&gt;""),AND(CC48="",CC49&lt;&gt;""),AND(CC49="",CC48&lt;&gt;"")),"",CA48*1000+CB48*10+CC48)</f>
        <v>2021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6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2"/>
        <v>Argentina_win</v>
      </c>
      <c r="T49" s="127" t="str">
        <f t="shared" si="13"/>
        <v>Austria_lose</v>
      </c>
      <c r="U49" s="123">
        <f t="shared" si="7"/>
        <v>0</v>
      </c>
      <c r="V49" s="123">
        <f t="shared" si="14"/>
        <v>0</v>
      </c>
      <c r="W49" s="123">
        <f t="shared" si="15"/>
        <v>0</v>
      </c>
      <c r="X49" s="123">
        <f t="shared" si="8"/>
        <v>0</v>
      </c>
      <c r="Y49" s="123">
        <f t="shared" si="9"/>
        <v>0</v>
      </c>
      <c r="Z49" s="123">
        <f t="shared" si="10"/>
        <v>0</v>
      </c>
      <c r="AA49" s="123">
        <f t="shared" si="11"/>
        <v>0</v>
      </c>
      <c r="AB49" s="123">
        <f t="shared" si="16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>
        <v>2</v>
      </c>
      <c r="CC49" s="27">
        <v>0</v>
      </c>
      <c r="CD49" s="113">
        <f>IF(CD48="","",CA49*1000+CB49*10+CC49)</f>
        <v>2020</v>
      </c>
      <c r="CK49" s="114"/>
      <c r="CL49" s="115"/>
      <c r="CM49" s="14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6"/>
        <v>0.125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2"/>
        <v>Jordan_draw</v>
      </c>
      <c r="T50" s="127" t="str">
        <f t="shared" si="13"/>
        <v>Algeria_draw</v>
      </c>
      <c r="U50" s="123">
        <f t="shared" si="7"/>
        <v>0</v>
      </c>
      <c r="V50" s="123">
        <f t="shared" si="14"/>
        <v>0</v>
      </c>
      <c r="W50" s="123">
        <f t="shared" si="15"/>
        <v>0</v>
      </c>
      <c r="X50" s="123">
        <f t="shared" si="8"/>
        <v>0</v>
      </c>
      <c r="Y50" s="123">
        <f t="shared" si="9"/>
        <v>0</v>
      </c>
      <c r="Z50" s="123">
        <f t="shared" si="10"/>
        <v>0</v>
      </c>
      <c r="AA50" s="123">
        <f t="shared" si="11"/>
        <v>1</v>
      </c>
      <c r="AB50" s="123">
        <f t="shared" si="16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90000010.042604879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3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3000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6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2"/>
        <v>England_win</v>
      </c>
      <c r="T51" s="127" t="str">
        <f t="shared" si="13"/>
        <v>Ghana_lose</v>
      </c>
      <c r="U51" s="123">
        <f t="shared" si="7"/>
        <v>0</v>
      </c>
      <c r="V51" s="123">
        <f t="shared" si="14"/>
        <v>0</v>
      </c>
      <c r="W51" s="123">
        <f t="shared" si="15"/>
        <v>0</v>
      </c>
      <c r="X51" s="123">
        <f t="shared" si="8"/>
        <v>0</v>
      </c>
      <c r="Y51" s="123">
        <f t="shared" si="9"/>
        <v>0</v>
      </c>
      <c r="Z51" s="123">
        <f t="shared" si="10"/>
        <v>0</v>
      </c>
      <c r="AA51" s="123">
        <f t="shared" si="11"/>
        <v>0</v>
      </c>
      <c r="AB51" s="123">
        <f t="shared" si="16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4</v>
      </c>
      <c r="AL51" s="123">
        <f>AI51-AJ51</f>
        <v>-3</v>
      </c>
      <c r="AM51" s="123">
        <f>AL51-AL54</f>
        <v>2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30000001.792349733</v>
      </c>
      <c r="AQ51" s="126">
        <f>VLOOKUP(AE51,db_fifarank,2,FALSE)</f>
        <v>1366.13</v>
      </c>
      <c r="AR51" s="125">
        <f>AP51/AP54</f>
        <v>0.33333331234979635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Ecuador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6"/>
        <v>0.95833333333333337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2"/>
        <v>Panama_lose</v>
      </c>
      <c r="T52" s="127" t="str">
        <f t="shared" si="13"/>
        <v>Croatia_win</v>
      </c>
      <c r="U52" s="123">
        <f t="shared" si="7"/>
        <v>0</v>
      </c>
      <c r="V52" s="123">
        <f t="shared" si="14"/>
        <v>0</v>
      </c>
      <c r="W52" s="123">
        <f t="shared" si="15"/>
        <v>0</v>
      </c>
      <c r="X52" s="123">
        <f t="shared" si="8"/>
        <v>0</v>
      </c>
      <c r="Y52" s="123">
        <f t="shared" si="9"/>
        <v>0</v>
      </c>
      <c r="Z52" s="123">
        <f t="shared" si="10"/>
        <v>0</v>
      </c>
      <c r="AA52" s="123">
        <f t="shared" si="11"/>
        <v>0</v>
      </c>
      <c r="AB52" s="123">
        <f t="shared" si="16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5</v>
      </c>
      <c r="AL52" s="123">
        <f>AI52-AJ52</f>
        <v>-5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7.10715E-4</v>
      </c>
      <c r="AQ52" s="126">
        <f>VLOOKUP(AE52,db_fifarank,2,FALSE)</f>
        <v>1421.43</v>
      </c>
      <c r="AR52" s="125">
        <f>AP52/AP54</f>
        <v>7.8968323644266714E-12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6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1 - 4</v>
      </c>
      <c r="P53" s="34">
        <f>L53*3+M53</f>
        <v>3</v>
      </c>
      <c r="R53" s="123">
        <f>DATE(2026,6,23)+TIME(6,0,0)+gmt_delta</f>
        <v>46196.708333333336</v>
      </c>
      <c r="S53" s="127" t="str">
        <f t="shared" si="12"/>
        <v>Portugal_win</v>
      </c>
      <c r="T53" s="127" t="str">
        <f t="shared" si="13"/>
        <v>Uzbekistan_lose</v>
      </c>
      <c r="U53" s="123">
        <f t="shared" si="7"/>
        <v>0</v>
      </c>
      <c r="V53" s="123">
        <f t="shared" si="14"/>
        <v>0</v>
      </c>
      <c r="W53" s="123">
        <f t="shared" si="15"/>
        <v>0</v>
      </c>
      <c r="X53" s="123">
        <f t="shared" si="8"/>
        <v>0</v>
      </c>
      <c r="Y53" s="123">
        <f t="shared" si="9"/>
        <v>0</v>
      </c>
      <c r="Z53" s="123">
        <f t="shared" si="10"/>
        <v>0</v>
      </c>
      <c r="AA53" s="123">
        <f t="shared" si="11"/>
        <v>0</v>
      </c>
      <c r="AB53" s="123">
        <f t="shared" si="16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60000006.334169872</v>
      </c>
      <c r="AQ53" s="126">
        <f>VLOOKUP(AE53,db_fifarank,2,FALSE)</f>
        <v>1673.07</v>
      </c>
      <c r="AR53" s="125">
        <f>AP53/AP54</f>
        <v>0.66666665524926016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6"/>
        <v>8.3333333333333329E-2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0 - 5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2"/>
        <v>Colombia_win</v>
      </c>
      <c r="T54" s="127" t="str">
        <f t="shared" si="13"/>
        <v>DR Congo_lose</v>
      </c>
      <c r="U54" s="123">
        <f t="shared" si="7"/>
        <v>0</v>
      </c>
      <c r="V54" s="123">
        <f t="shared" si="14"/>
        <v>0</v>
      </c>
      <c r="W54" s="123">
        <f t="shared" si="15"/>
        <v>0</v>
      </c>
      <c r="X54" s="123">
        <f t="shared" si="8"/>
        <v>0</v>
      </c>
      <c r="Y54" s="123">
        <f t="shared" si="9"/>
        <v>0</v>
      </c>
      <c r="Z54" s="123">
        <f t="shared" si="10"/>
        <v>0</v>
      </c>
      <c r="AA54" s="123">
        <f t="shared" si="11"/>
        <v>0</v>
      </c>
      <c r="AB54" s="123">
        <f t="shared" si="16"/>
        <v>1</v>
      </c>
      <c r="AF54" s="123">
        <f>MAX(AF50:AF53)-MIN(AF50:AF53)+1</f>
        <v>4</v>
      </c>
      <c r="AG54" s="123">
        <f>MAX(AG50:AG53)-MIN(AG50:AG53)+1</f>
        <v>1</v>
      </c>
      <c r="AH54" s="123">
        <f>MAX(AH50:AH53)-MIN(AH50:AH53)+1</f>
        <v>4</v>
      </c>
      <c r="AI54" s="123">
        <f>MAX(AI50:AI53)+1</f>
        <v>8</v>
      </c>
      <c r="AL54" s="123">
        <f>MIN(AL50:AL53)</f>
        <v>-5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90000011.042604879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6"/>
        <v>0.91666666666666663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2"/>
        <v>Scotland_lose</v>
      </c>
      <c r="T55" s="127" t="str">
        <f t="shared" si="13"/>
        <v>Brazil_win</v>
      </c>
      <c r="U55" s="123">
        <f t="shared" si="7"/>
        <v>0</v>
      </c>
      <c r="V55" s="123">
        <f t="shared" si="14"/>
        <v>0</v>
      </c>
      <c r="W55" s="123">
        <f t="shared" si="15"/>
        <v>0</v>
      </c>
      <c r="X55" s="123">
        <f t="shared" si="8"/>
        <v>0</v>
      </c>
      <c r="Y55" s="123">
        <f t="shared" si="9"/>
        <v>0</v>
      </c>
      <c r="Z55" s="123">
        <f t="shared" si="10"/>
        <v>0</v>
      </c>
      <c r="AA55" s="123">
        <f t="shared" si="11"/>
        <v>0</v>
      </c>
      <c r="AB55" s="123">
        <f t="shared" si="16"/>
        <v>-1</v>
      </c>
      <c r="BK55" s="142"/>
      <c r="BL55" s="26" t="str">
        <f>IF(group_round_completed,VLOOKUP('3rd places'!K3,AK80:AS91,9,FALSE),"3rd Group E/H/I/J/K")</f>
        <v>DR Congo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6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2"/>
        <v>Morocco_win</v>
      </c>
      <c r="T56" s="127" t="str">
        <f t="shared" si="13"/>
        <v>Haiti_lose</v>
      </c>
      <c r="U56" s="123">
        <f t="shared" si="7"/>
        <v>0</v>
      </c>
      <c r="V56" s="123">
        <f t="shared" si="14"/>
        <v>0</v>
      </c>
      <c r="W56" s="123">
        <f t="shared" si="15"/>
        <v>0</v>
      </c>
      <c r="X56" s="123">
        <f t="shared" si="8"/>
        <v>0</v>
      </c>
      <c r="Y56" s="123">
        <f t="shared" si="9"/>
        <v>0</v>
      </c>
      <c r="Z56" s="123">
        <f t="shared" si="10"/>
        <v>0</v>
      </c>
      <c r="AA56" s="123">
        <f t="shared" si="11"/>
        <v>0</v>
      </c>
      <c r="AB56" s="123">
        <f t="shared" si="16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90000010.106707886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3</v>
      </c>
      <c r="CI56" s="64"/>
      <c r="CJ56" s="27"/>
      <c r="CK56" s="112">
        <f>IF(CK55="","",CH56*1000+CI56*10+CJ56)</f>
        <v>3000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6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2"/>
        <v>Switzerland_draw</v>
      </c>
      <c r="T57" s="127" t="str">
        <f t="shared" si="13"/>
        <v>Canada_draw</v>
      </c>
      <c r="U57" s="123">
        <f t="shared" si="7"/>
        <v>1</v>
      </c>
      <c r="V57" s="123">
        <f t="shared" si="14"/>
        <v>1</v>
      </c>
      <c r="W57" s="123">
        <f t="shared" si="15"/>
        <v>1</v>
      </c>
      <c r="X57" s="123">
        <f t="shared" si="8"/>
        <v>1</v>
      </c>
      <c r="Y57" s="123">
        <f t="shared" si="9"/>
        <v>1</v>
      </c>
      <c r="Z57" s="123">
        <f t="shared" si="10"/>
        <v>1</v>
      </c>
      <c r="AA57" s="123">
        <f t="shared" si="11"/>
        <v>0</v>
      </c>
      <c r="AB57" s="123">
        <f t="shared" si="16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7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30000005.885459878</v>
      </c>
      <c r="AQ57" s="126">
        <f>VLOOKUP(AE57,db_fifarank,2,FALSE)</f>
        <v>1688.99</v>
      </c>
      <c r="AR57" s="125">
        <f>AP57/AP60</f>
        <v>0.33333335759137384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6"/>
        <v>0.79166666666666663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2"/>
        <v>Bosnia and Herzegovina_win</v>
      </c>
      <c r="T58" s="127" t="str">
        <f t="shared" si="13"/>
        <v>Qatar_lose</v>
      </c>
      <c r="U58" s="123">
        <f t="shared" si="7"/>
        <v>0</v>
      </c>
      <c r="V58" s="123">
        <f t="shared" si="14"/>
        <v>0</v>
      </c>
      <c r="W58" s="123">
        <f t="shared" si="15"/>
        <v>0</v>
      </c>
      <c r="X58" s="123">
        <f t="shared" si="8"/>
        <v>0</v>
      </c>
      <c r="Y58" s="123">
        <f t="shared" si="9"/>
        <v>0</v>
      </c>
      <c r="Z58" s="123">
        <f t="shared" si="10"/>
        <v>0</v>
      </c>
      <c r="AA58" s="123">
        <f t="shared" si="11"/>
        <v>0</v>
      </c>
      <c r="AB58" s="123">
        <f t="shared" si="16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8.0396656745086876E-12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>IF(SUM(BB58:BF58)=0,0,BB58/$BB$60*1000+BC58/$BC$60*100+BG58/$BG$60*10+BD58/$BD$60)</f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6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4 - 4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2"/>
        <v>Czech Republic_lose</v>
      </c>
      <c r="T59" s="127" t="str">
        <f t="shared" si="13"/>
        <v>Mexico_win</v>
      </c>
      <c r="U59" s="123">
        <f t="shared" si="7"/>
        <v>0</v>
      </c>
      <c r="V59" s="123">
        <f t="shared" si="14"/>
        <v>0</v>
      </c>
      <c r="W59" s="123">
        <f t="shared" si="15"/>
        <v>0</v>
      </c>
      <c r="X59" s="123">
        <f t="shared" si="8"/>
        <v>0</v>
      </c>
      <c r="Y59" s="123">
        <f t="shared" si="9"/>
        <v>0</v>
      </c>
      <c r="Z59" s="123">
        <f t="shared" si="10"/>
        <v>0</v>
      </c>
      <c r="AA59" s="123">
        <f t="shared" si="11"/>
        <v>0</v>
      </c>
      <c r="AB59" s="123">
        <f t="shared" si="16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9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60000007.548852392</v>
      </c>
      <c r="AQ59" s="126">
        <f>VLOOKUP(AE59,db_fifarank,2,FALSE)</f>
        <v>1550.94</v>
      </c>
      <c r="AR59" s="125">
        <f>AP59/AP60</f>
        <v>0.66666666827089394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>IF(SUM(BB59:BF59)=0,0,BB59/$BB$60*1000+BC59/$BC$60*100+BG59/$BG$60*10+BD59/$BD$60)</f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6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2"/>
        <v>South Africa_draw</v>
      </c>
      <c r="T60" s="127" t="str">
        <f t="shared" si="13"/>
        <v>Korea Republic_draw</v>
      </c>
      <c r="U60" s="123">
        <f t="shared" si="7"/>
        <v>0</v>
      </c>
      <c r="V60" s="123">
        <f t="shared" si="14"/>
        <v>0</v>
      </c>
      <c r="W60" s="123">
        <f t="shared" si="15"/>
        <v>0</v>
      </c>
      <c r="X60" s="123">
        <f t="shared" si="8"/>
        <v>0</v>
      </c>
      <c r="Y60" s="123">
        <f t="shared" si="9"/>
        <v>0</v>
      </c>
      <c r="Z60" s="123">
        <f t="shared" si="10"/>
        <v>0</v>
      </c>
      <c r="AA60" s="123">
        <f t="shared" si="11"/>
        <v>0</v>
      </c>
      <c r="AB60" s="123">
        <f t="shared" si="16"/>
        <v>0</v>
      </c>
      <c r="AF60" s="123">
        <f>MAX(AF56:AF59)-MIN(AF56:AF59)+1</f>
        <v>4</v>
      </c>
      <c r="AG60" s="123">
        <f>MAX(AG56:AG59)-MIN(AG56:AG59)+1</f>
        <v>1</v>
      </c>
      <c r="AH60" s="123">
        <f>MAX(AH56:AH59)-MIN(AH56:AH59)+1</f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90000011.106707886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>
        <v>2</v>
      </c>
      <c r="BV60" s="25">
        <v>1</v>
      </c>
      <c r="BW60" s="112">
        <f>IF(OR(BT60="",BT61="",AND(BU60="",BU61&lt;&gt;""),AND(BU61="",BU60&lt;&gt;""),AND(BV60="",BV61&lt;&gt;""),AND(BV61="",BV60&lt;&gt;"")),"",BT60*1000+BU60*10+BV60)</f>
        <v>2021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6"/>
        <v>0.83333333333333337</v>
      </c>
      <c r="E61" s="78" t="str">
        <f>AE33</f>
        <v>Curaçao</v>
      </c>
      <c r="F61" s="19">
        <v>1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2"/>
        <v>Curaçao_lose</v>
      </c>
      <c r="T61" s="127" t="str">
        <f t="shared" si="13"/>
        <v>Ivory Coast_win</v>
      </c>
      <c r="U61" s="123">
        <f t="shared" si="7"/>
        <v>0</v>
      </c>
      <c r="V61" s="123">
        <f t="shared" si="14"/>
        <v>0</v>
      </c>
      <c r="W61" s="123">
        <f t="shared" si="15"/>
        <v>0</v>
      </c>
      <c r="X61" s="123">
        <f t="shared" si="8"/>
        <v>0</v>
      </c>
      <c r="Y61" s="123">
        <f t="shared" si="9"/>
        <v>0</v>
      </c>
      <c r="Z61" s="123">
        <f t="shared" si="10"/>
        <v>0</v>
      </c>
      <c r="AA61" s="123">
        <f t="shared" si="11"/>
        <v>0</v>
      </c>
      <c r="AB61" s="123">
        <f t="shared" si="16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Egypt</v>
      </c>
      <c r="BT61" s="62">
        <v>2</v>
      </c>
      <c r="BU61" s="64">
        <v>2</v>
      </c>
      <c r="BV61" s="27">
        <v>0</v>
      </c>
      <c r="BW61" s="113">
        <f>IF(BW60="","",BT61*1000+BU61*10+BV61)</f>
        <v>2020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6"/>
        <v>0.83333333333333337</v>
      </c>
      <c r="E62" s="78" t="str">
        <f>AE35</f>
        <v>Ecuador</v>
      </c>
      <c r="F62" s="19">
        <v>2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2"/>
        <v>Ecuador_lose</v>
      </c>
      <c r="T62" s="127" t="str">
        <f t="shared" si="13"/>
        <v>Germany_win</v>
      </c>
      <c r="U62" s="123">
        <f t="shared" si="7"/>
        <v>0</v>
      </c>
      <c r="V62" s="123">
        <f t="shared" si="14"/>
        <v>0</v>
      </c>
      <c r="W62" s="123">
        <f t="shared" si="15"/>
        <v>0</v>
      </c>
      <c r="X62" s="123">
        <f t="shared" si="8"/>
        <v>0</v>
      </c>
      <c r="Y62" s="123">
        <f t="shared" si="9"/>
        <v>0</v>
      </c>
      <c r="Z62" s="123">
        <f t="shared" si="10"/>
        <v>0</v>
      </c>
      <c r="AA62" s="123">
        <f t="shared" si="11"/>
        <v>0</v>
      </c>
      <c r="AB62" s="123">
        <f t="shared" si="16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2</v>
      </c>
      <c r="AL62" s="123">
        <f>AI62-AJ62</f>
        <v>4</v>
      </c>
      <c r="AM62" s="123">
        <f>AL62-AL66</f>
        <v>7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90000009.608080268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6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2"/>
        <v>Japan_win</v>
      </c>
      <c r="T63" s="127" t="str">
        <f t="shared" si="13"/>
        <v>Sweden_lose</v>
      </c>
      <c r="U63" s="123">
        <f t="shared" si="7"/>
        <v>0</v>
      </c>
      <c r="V63" s="123">
        <f t="shared" si="14"/>
        <v>0</v>
      </c>
      <c r="W63" s="123">
        <f t="shared" si="15"/>
        <v>0</v>
      </c>
      <c r="X63" s="123">
        <f t="shared" si="8"/>
        <v>0</v>
      </c>
      <c r="Y63" s="123">
        <f t="shared" si="9"/>
        <v>0</v>
      </c>
      <c r="Z63" s="123">
        <f t="shared" si="10"/>
        <v>0</v>
      </c>
      <c r="AA63" s="123">
        <f t="shared" si="11"/>
        <v>0</v>
      </c>
      <c r="AB63" s="123">
        <f t="shared" si="16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2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20000002.786496416</v>
      </c>
      <c r="AQ63" s="126">
        <f>VLOOKUP(AE63,db_fifarank,2,FALSE)</f>
        <v>1564.26</v>
      </c>
      <c r="AR63" s="125">
        <f>AP63/AP66</f>
        <v>0.22222222699050215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6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2"/>
        <v>Tunisia_lose</v>
      </c>
      <c r="T64" s="127" t="str">
        <f t="shared" si="13"/>
        <v>Netherlands_win</v>
      </c>
      <c r="U64" s="123">
        <f t="shared" si="7"/>
        <v>0</v>
      </c>
      <c r="V64" s="123">
        <f t="shared" si="14"/>
        <v>0</v>
      </c>
      <c r="W64" s="123">
        <f t="shared" si="15"/>
        <v>0</v>
      </c>
      <c r="X64" s="123">
        <f t="shared" si="8"/>
        <v>0</v>
      </c>
      <c r="Y64" s="123">
        <f t="shared" si="9"/>
        <v>0</v>
      </c>
      <c r="Z64" s="123">
        <f t="shared" si="10"/>
        <v>0</v>
      </c>
      <c r="AA64" s="123">
        <f t="shared" si="11"/>
        <v>0</v>
      </c>
      <c r="AB64" s="123">
        <f t="shared" si="16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3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40000004.179368153</v>
      </c>
      <c r="AQ64" s="126">
        <f>VLOOKUP(AE64,db_fifarank,2,FALSE)</f>
        <v>1593.45</v>
      </c>
      <c r="AR64" s="125">
        <f>AP64/AP66</f>
        <v>0.44444443849628751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6"/>
        <v>8.3333333333333329E-2</v>
      </c>
      <c r="E65" s="78" t="str">
        <f>AE29</f>
        <v>Turkey</v>
      </c>
      <c r="F65" s="19">
        <v>0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2 - 3</v>
      </c>
      <c r="P65" s="34">
        <f>L65*3+M65</f>
        <v>2</v>
      </c>
      <c r="R65" s="123">
        <f>DATE(2026,6,25)+TIME(15,0,0)+gmt_delta</f>
        <v>46199.083333333336</v>
      </c>
      <c r="S65" s="127" t="str">
        <f t="shared" si="12"/>
        <v>Turkey_lose</v>
      </c>
      <c r="T65" s="127" t="str">
        <f t="shared" si="13"/>
        <v>United States_win</v>
      </c>
      <c r="U65" s="123">
        <f t="shared" si="7"/>
        <v>0</v>
      </c>
      <c r="V65" s="123">
        <f t="shared" si="14"/>
        <v>0</v>
      </c>
      <c r="W65" s="123">
        <f t="shared" si="15"/>
        <v>0</v>
      </c>
      <c r="X65" s="123">
        <f t="shared" si="8"/>
        <v>0</v>
      </c>
      <c r="Y65" s="123">
        <f t="shared" si="9"/>
        <v>0</v>
      </c>
      <c r="Z65" s="123">
        <f t="shared" si="10"/>
        <v>0</v>
      </c>
      <c r="AA65" s="123">
        <f t="shared" si="11"/>
        <v>0</v>
      </c>
      <c r="AB65" s="123">
        <f t="shared" si="16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5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10000000.286410011</v>
      </c>
      <c r="AQ65" s="126">
        <f>VLOOKUP(AE65,db_fifarank,2,FALSE)</f>
        <v>1391.45</v>
      </c>
      <c r="AR65" s="125">
        <f>AP65/AP66</f>
        <v>0.11111110119705035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6"/>
        <v>8.3333333333333329E-2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2 - 5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2"/>
        <v>Paraguay_lose</v>
      </c>
      <c r="T66" s="127" t="str">
        <f t="shared" si="13"/>
        <v>Australia_win</v>
      </c>
      <c r="U66" s="123">
        <f t="shared" si="7"/>
        <v>0</v>
      </c>
      <c r="V66" s="123">
        <f t="shared" si="14"/>
        <v>0</v>
      </c>
      <c r="W66" s="123">
        <f t="shared" si="15"/>
        <v>0</v>
      </c>
      <c r="X66" s="123">
        <f t="shared" si="8"/>
        <v>0</v>
      </c>
      <c r="Y66" s="123">
        <f t="shared" si="9"/>
        <v>0</v>
      </c>
      <c r="Z66" s="123">
        <f t="shared" si="10"/>
        <v>0</v>
      </c>
      <c r="AA66" s="123">
        <f t="shared" si="11"/>
        <v>0</v>
      </c>
      <c r="AB66" s="123">
        <f t="shared" si="16"/>
        <v>-1</v>
      </c>
      <c r="AF66" s="123">
        <f>MAX(AF62:AF65)-MIN(AF62:AF65)+1</f>
        <v>4</v>
      </c>
      <c r="AG66" s="123">
        <f>MAX(AG62:AG65)-MIN(AG62:AG65)+1</f>
        <v>3</v>
      </c>
      <c r="AH66" s="123">
        <f>MAX(AH62:AH65)-MIN(AH62:AH65)+1</f>
        <v>3</v>
      </c>
      <c r="AI66" s="123">
        <f>MAX(AI62:AI65)+1</f>
        <v>7</v>
      </c>
      <c r="AL66" s="123">
        <f>MIN(AL62:AL65)</f>
        <v>-3</v>
      </c>
      <c r="AM66" s="123">
        <f>MAX(AM62:AM65)+1</f>
        <v>8</v>
      </c>
      <c r="AN66" s="123">
        <f>MAX(AN62:AN65)+1</f>
        <v>10</v>
      </c>
      <c r="AO66" s="123">
        <f>MAX(AO62:AO65)+1</f>
        <v>10</v>
      </c>
      <c r="AP66" s="123">
        <f>MAX(AP62:AP65)+1</f>
        <v>90000010.608080268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Canada</v>
      </c>
      <c r="BM66" s="61">
        <v>2</v>
      </c>
      <c r="BN66" s="63">
        <v>2</v>
      </c>
      <c r="BO66" s="25">
        <v>1</v>
      </c>
      <c r="BP66" s="112">
        <f>IF(OR(BM66="",BM67="",AND(BN66="",BN67&lt;&gt;""),AND(BN67="",BN66&lt;&gt;""),AND(BO66="",BO67&lt;&gt;""),AND(BO67="",BO66&lt;&gt;"")),"",BM66*1000+BN66*10+BO66)</f>
        <v>2021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6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2"/>
        <v>Norway_lose</v>
      </c>
      <c r="T67" s="127" t="str">
        <f t="shared" si="13"/>
        <v>France_win</v>
      </c>
      <c r="U67" s="123">
        <f t="shared" si="7"/>
        <v>0</v>
      </c>
      <c r="V67" s="123">
        <f t="shared" si="14"/>
        <v>0</v>
      </c>
      <c r="W67" s="123">
        <f t="shared" si="15"/>
        <v>0</v>
      </c>
      <c r="X67" s="123">
        <f t="shared" si="8"/>
        <v>0</v>
      </c>
      <c r="Y67" s="123">
        <f t="shared" si="9"/>
        <v>0</v>
      </c>
      <c r="Z67" s="123">
        <f t="shared" si="10"/>
        <v>0</v>
      </c>
      <c r="AA67" s="123">
        <f t="shared" si="11"/>
        <v>0</v>
      </c>
      <c r="AB67" s="123">
        <f t="shared" si="16"/>
        <v>-1</v>
      </c>
      <c r="BK67" s="142"/>
      <c r="BL67" s="26" t="str">
        <f>IF(group_round_completed,VLOOKUP('3rd places'!E3,AK80:AS91,9,FALSE),"3rd Group E/F/G/I/J")</f>
        <v>Iran</v>
      </c>
      <c r="BM67" s="62">
        <v>2</v>
      </c>
      <c r="BN67" s="64">
        <v>2</v>
      </c>
      <c r="BO67" s="27">
        <v>0</v>
      </c>
      <c r="BP67" s="113">
        <f>IF(BP66="","",BM67*1000+BN67*10+BO67)</f>
        <v>2020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6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2"/>
        <v>Senegal_win</v>
      </c>
      <c r="T68" s="127" t="str">
        <f t="shared" si="13"/>
        <v>Iraq_lose</v>
      </c>
      <c r="U68" s="123">
        <f t="shared" si="7"/>
        <v>0</v>
      </c>
      <c r="V68" s="123">
        <f t="shared" si="14"/>
        <v>0</v>
      </c>
      <c r="W68" s="123">
        <f t="shared" si="15"/>
        <v>0</v>
      </c>
      <c r="X68" s="123">
        <f t="shared" si="8"/>
        <v>0</v>
      </c>
      <c r="Y68" s="123">
        <f t="shared" si="9"/>
        <v>0</v>
      </c>
      <c r="Z68" s="123">
        <f t="shared" si="10"/>
        <v>0</v>
      </c>
      <c r="AA68" s="123">
        <f t="shared" si="11"/>
        <v>0</v>
      </c>
      <c r="AB68" s="123">
        <f t="shared" si="16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90000010.223104134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Canada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6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46200.125</v>
      </c>
      <c r="S69" s="127" t="str">
        <f t="shared" si="12"/>
        <v>Egypt_draw</v>
      </c>
      <c r="T69" s="127" t="str">
        <f t="shared" si="13"/>
        <v>Iran_draw</v>
      </c>
      <c r="U69" s="123">
        <f t="shared" si="7"/>
        <v>0</v>
      </c>
      <c r="V69" s="123">
        <f t="shared" si="14"/>
        <v>0</v>
      </c>
      <c r="W69" s="123">
        <f t="shared" si="15"/>
        <v>0</v>
      </c>
      <c r="X69" s="123">
        <f t="shared" si="8"/>
        <v>0</v>
      </c>
      <c r="Y69" s="123">
        <f t="shared" si="9"/>
        <v>0</v>
      </c>
      <c r="Z69" s="123">
        <f t="shared" si="10"/>
        <v>0</v>
      </c>
      <c r="AA69" s="123">
        <f t="shared" si="11"/>
        <v>0</v>
      </c>
      <c r="AB69" s="123">
        <f t="shared" si="16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4</v>
      </c>
      <c r="AL69" s="123">
        <f>AI69-AJ69</f>
        <v>-1</v>
      </c>
      <c r="AM69" s="123">
        <f>AL69-AL72</f>
        <v>6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30000004.334072508</v>
      </c>
      <c r="AQ69" s="126">
        <f>VLOOKUP(AE69,db_fifarank,2,FALSE)</f>
        <v>1478.35</v>
      </c>
      <c r="AR69" s="125">
        <f>AP69/AP72</f>
        <v>0.33333333992264136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6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5 - 4</v>
      </c>
      <c r="P70" s="34">
        <f>L70*3+M70</f>
        <v>6</v>
      </c>
      <c r="R70" s="123">
        <f>DATE(2026,6,26)+TIME(16,0,0)+gmt_delta</f>
        <v>46200.125</v>
      </c>
      <c r="S70" s="127" t="str">
        <f t="shared" si="12"/>
        <v>New Zealand_lose</v>
      </c>
      <c r="T70" s="127" t="str">
        <f t="shared" si="13"/>
        <v>Belgium_win</v>
      </c>
      <c r="U70" s="123">
        <f t="shared" si="7"/>
        <v>0</v>
      </c>
      <c r="V70" s="123">
        <f t="shared" si="14"/>
        <v>0</v>
      </c>
      <c r="W70" s="123">
        <f t="shared" si="15"/>
        <v>0</v>
      </c>
      <c r="X70" s="123">
        <f t="shared" si="8"/>
        <v>0</v>
      </c>
      <c r="Y70" s="123">
        <f t="shared" si="9"/>
        <v>0</v>
      </c>
      <c r="Z70" s="123">
        <f t="shared" si="10"/>
        <v>0</v>
      </c>
      <c r="AA70" s="123">
        <f t="shared" si="11"/>
        <v>0</v>
      </c>
      <c r="AB70" s="123">
        <f t="shared" si="16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7</v>
      </c>
      <c r="AL70" s="123">
        <f>AI70-AJ70</f>
        <v>-7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8.1407767626134959E-12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6"/>
        <v>0</v>
      </c>
      <c r="E71" s="78" t="str">
        <f>AE51</f>
        <v>Cape Verde</v>
      </c>
      <c r="F71" s="19">
        <v>1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3 - 4</v>
      </c>
      <c r="P71" s="34">
        <f>L71*3+M71</f>
        <v>3</v>
      </c>
      <c r="R71" s="123">
        <f>DATE(2026,6,26)+TIME(13,0,0)+gmt_delta</f>
        <v>46200</v>
      </c>
      <c r="S71" s="127" t="str">
        <f t="shared" si="12"/>
        <v>Cape Verde_win</v>
      </c>
      <c r="T71" s="127" t="str">
        <f t="shared" si="13"/>
        <v>Saudi Arabia_lose</v>
      </c>
      <c r="U71" s="123">
        <f t="shared" si="7"/>
        <v>0</v>
      </c>
      <c r="V71" s="123">
        <f t="shared" si="14"/>
        <v>0</v>
      </c>
      <c r="W71" s="123">
        <f t="shared" si="15"/>
        <v>0</v>
      </c>
      <c r="X71" s="123">
        <f t="shared" si="8"/>
        <v>0</v>
      </c>
      <c r="Y71" s="123">
        <f t="shared" si="9"/>
        <v>0</v>
      </c>
      <c r="Z71" s="123">
        <f t="shared" si="10"/>
        <v>0</v>
      </c>
      <c r="AA71" s="123">
        <f t="shared" ref="AA71:AA78" si="17">IF(OR(E71=my_team,H71=my_team),1,IF(INT(MATCH(E71,$AE$8:$AE$78,0)/6)=$AA$6,1,0))</f>
        <v>0</v>
      </c>
      <c r="AB71" s="123">
        <f t="shared" si="16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60000005.88973543</v>
      </c>
      <c r="AQ71" s="126">
        <f>VLOOKUP(AE71,db_fifarank,2,FALSE)</f>
        <v>1693.09</v>
      </c>
      <c r="AR71" s="125">
        <f>AP71/AP72</f>
        <v>0.66666664897406891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18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0 - 7</v>
      </c>
      <c r="P72" s="37">
        <f>L72*3+M72</f>
        <v>0</v>
      </c>
      <c r="R72" s="123">
        <f>DATE(2026,6,26)+TIME(13,0,0)+gmt_delta</f>
        <v>46200</v>
      </c>
      <c r="S72" s="127" t="str">
        <f t="shared" si="12"/>
        <v>Uruguay_lose</v>
      </c>
      <c r="T72" s="127" t="str">
        <f t="shared" si="13"/>
        <v>Spain_win</v>
      </c>
      <c r="U72" s="123">
        <f t="shared" ref="U72:U78" si="19">IF(S72="",0,IF(VLOOKUP(E72,$AE$8:$AN$77,10,FALSE)=VLOOKUP(H72,$AE$8:$AN$77,10,FALSE),1,0))</f>
        <v>0</v>
      </c>
      <c r="V72" s="123">
        <f t="shared" si="14"/>
        <v>0</v>
      </c>
      <c r="W72" s="123">
        <f t="shared" si="15"/>
        <v>0</v>
      </c>
      <c r="X72" s="123">
        <f t="shared" ref="X72:X78" si="20">IF(S72="",0,IF(VLOOKUP(E72,$AE$8:$AO$77,11,FALSE)=VLOOKUP(H72,$AE$8:$AO$77,11,FALSE),1,0))</f>
        <v>0</v>
      </c>
      <c r="Y72" s="123">
        <f t="shared" ref="Y72:Y78" si="21">X72*F72</f>
        <v>0</v>
      </c>
      <c r="Z72" s="123">
        <f t="shared" ref="Z72:Z78" si="22">X72*G72</f>
        <v>0</v>
      </c>
      <c r="AA72" s="123">
        <f t="shared" si="17"/>
        <v>0</v>
      </c>
      <c r="AB72" s="123">
        <f t="shared" si="16"/>
        <v>-1</v>
      </c>
      <c r="AF72" s="123">
        <f>MAX(AF68:AF71)-MIN(AF68:AF71)+1</f>
        <v>4</v>
      </c>
      <c r="AG72" s="123">
        <f>MAX(AG68:AG71)-MIN(AG68:AG71)+1</f>
        <v>1</v>
      </c>
      <c r="AH72" s="123">
        <f>MAX(AH68:AH71)-MIN(AH68:AH71)+1</f>
        <v>4</v>
      </c>
      <c r="AI72" s="123">
        <f>MAX(AI68:AI71)+1</f>
        <v>9</v>
      </c>
      <c r="AL72" s="123">
        <f>MIN(AL68:AL71)</f>
        <v>-7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90000011.223104134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18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2"/>
        <v>Panama_lose</v>
      </c>
      <c r="T73" s="127" t="str">
        <f t="shared" si="13"/>
        <v>England_win</v>
      </c>
      <c r="U73" s="123">
        <f t="shared" si="19"/>
        <v>0</v>
      </c>
      <c r="V73" s="123">
        <f t="shared" si="14"/>
        <v>0</v>
      </c>
      <c r="W73" s="123">
        <f t="shared" si="15"/>
        <v>0</v>
      </c>
      <c r="X73" s="123">
        <f t="shared" si="20"/>
        <v>0</v>
      </c>
      <c r="Y73" s="123">
        <f t="shared" si="21"/>
        <v>0</v>
      </c>
      <c r="Z73" s="123">
        <f t="shared" si="22"/>
        <v>0</v>
      </c>
      <c r="AA73" s="123">
        <f t="shared" si="17"/>
        <v>0</v>
      </c>
      <c r="AB73" s="123">
        <f t="shared" si="16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18"/>
        <v>0.875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2"/>
        <v>Croatia_win</v>
      </c>
      <c r="T74" s="127" t="str">
        <f t="shared" si="13"/>
        <v>Ghana_lose</v>
      </c>
      <c r="U74" s="123">
        <f t="shared" si="19"/>
        <v>0</v>
      </c>
      <c r="V74" s="123">
        <f t="shared" si="14"/>
        <v>0</v>
      </c>
      <c r="W74" s="123">
        <f t="shared" si="15"/>
        <v>0</v>
      </c>
      <c r="X74" s="123">
        <f t="shared" si="20"/>
        <v>0</v>
      </c>
      <c r="Y74" s="123">
        <f t="shared" si="21"/>
        <v>0</v>
      </c>
      <c r="Z74" s="123">
        <f t="shared" si="22"/>
        <v>0</v>
      </c>
      <c r="AA74" s="123">
        <f t="shared" si="17"/>
        <v>0</v>
      </c>
      <c r="AB74" s="123">
        <f t="shared" si="16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8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90000009.746944726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18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2"/>
        <v>Algeria_draw</v>
      </c>
      <c r="T75" s="127" t="str">
        <f t="shared" si="13"/>
        <v>Austria_draw</v>
      </c>
      <c r="U75" s="123">
        <f t="shared" si="19"/>
        <v>0</v>
      </c>
      <c r="V75" s="123">
        <f t="shared" si="14"/>
        <v>0</v>
      </c>
      <c r="W75" s="123">
        <f t="shared" si="15"/>
        <v>0</v>
      </c>
      <c r="X75" s="123">
        <f t="shared" si="20"/>
        <v>0</v>
      </c>
      <c r="Y75" s="123">
        <f t="shared" si="21"/>
        <v>0</v>
      </c>
      <c r="Z75" s="123">
        <f t="shared" si="22"/>
        <v>0</v>
      </c>
      <c r="AA75" s="123">
        <f t="shared" si="17"/>
        <v>1</v>
      </c>
      <c r="AB75" s="123">
        <f t="shared" si="16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3</v>
      </c>
      <c r="AL75" s="123">
        <f>AI75-AJ75</f>
        <v>2</v>
      </c>
      <c r="AM75" s="123">
        <f>AL75-AL78</f>
        <v>6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60000007.381810918</v>
      </c>
      <c r="AQ75" s="126">
        <f>VLOOKUP(AE75,db_fifarank,2,FALSE)</f>
        <v>1717.07</v>
      </c>
      <c r="AR75" s="125">
        <f>AP75/AP78</f>
        <v>0.66666666907978978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18"/>
        <v>8.3333333333333329E-2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2"/>
        <v>Jordan_lose</v>
      </c>
      <c r="T76" s="127" t="str">
        <f t="shared" si="13"/>
        <v>Argentina_win</v>
      </c>
      <c r="U76" s="123">
        <f t="shared" si="19"/>
        <v>0</v>
      </c>
      <c r="V76" s="123">
        <f t="shared" si="14"/>
        <v>0</v>
      </c>
      <c r="W76" s="123">
        <f t="shared" si="15"/>
        <v>0</v>
      </c>
      <c r="X76" s="123">
        <f t="shared" si="20"/>
        <v>0</v>
      </c>
      <c r="Y76" s="123">
        <f t="shared" si="21"/>
        <v>0</v>
      </c>
      <c r="Z76" s="123">
        <f t="shared" si="22"/>
        <v>0</v>
      </c>
      <c r="AA76" s="123">
        <f t="shared" si="17"/>
        <v>0</v>
      </c>
      <c r="AB76" s="123">
        <f t="shared" si="16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2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30000002.508609667</v>
      </c>
      <c r="AQ76" s="126">
        <f>VLOOKUP(AE76,db_fifarank,2,FALSE)</f>
        <v>1346.31</v>
      </c>
      <c r="AR76" s="125">
        <f>AP76/AP78</f>
        <v>0.33333332140327654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18"/>
        <v>0.97916666666666663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2 - 4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2"/>
        <v>Colombia_lose</v>
      </c>
      <c r="T77" s="127" t="str">
        <f t="shared" si="13"/>
        <v>Portugal_win</v>
      </c>
      <c r="U77" s="123">
        <f t="shared" si="19"/>
        <v>0</v>
      </c>
      <c r="V77" s="123">
        <f t="shared" si="14"/>
        <v>0</v>
      </c>
      <c r="W77" s="123">
        <f t="shared" si="15"/>
        <v>0</v>
      </c>
      <c r="X77" s="123">
        <f t="shared" si="20"/>
        <v>0</v>
      </c>
      <c r="Y77" s="123">
        <f t="shared" si="21"/>
        <v>0</v>
      </c>
      <c r="Z77" s="123">
        <f t="shared" si="22"/>
        <v>0</v>
      </c>
      <c r="AA77" s="123">
        <f t="shared" si="17"/>
        <v>0</v>
      </c>
      <c r="AB77" s="123">
        <f t="shared" si="16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5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0.14362746285714284</v>
      </c>
      <c r="AQ77" s="126">
        <f>VLOOKUP(AE77,db_fifarank,2,FALSE)</f>
        <v>1540.64</v>
      </c>
      <c r="AR77" s="125">
        <f>AP77/AP78</f>
        <v>1.595860507850202E-9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18"/>
        <v>0.97916666666666663</v>
      </c>
      <c r="E78" s="78" t="str">
        <f>AE69</f>
        <v>DR Congo</v>
      </c>
      <c r="F78" s="19">
        <v>2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1 - 5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2"/>
        <v>DR Congo_win</v>
      </c>
      <c r="T78" s="127" t="str">
        <f t="shared" si="13"/>
        <v>Uzbekistan_lose</v>
      </c>
      <c r="U78" s="123">
        <f t="shared" si="19"/>
        <v>0</v>
      </c>
      <c r="V78" s="123">
        <f t="shared" si="14"/>
        <v>0</v>
      </c>
      <c r="W78" s="123">
        <f t="shared" si="15"/>
        <v>0</v>
      </c>
      <c r="X78" s="123">
        <f t="shared" si="20"/>
        <v>0</v>
      </c>
      <c r="Y78" s="123">
        <f t="shared" si="21"/>
        <v>0</v>
      </c>
      <c r="Z78" s="123">
        <f t="shared" si="22"/>
        <v>0</v>
      </c>
      <c r="AA78" s="123">
        <f t="shared" si="17"/>
        <v>0</v>
      </c>
      <c r="AB78" s="123">
        <f t="shared" si="16"/>
        <v>1</v>
      </c>
      <c r="AF78" s="123">
        <f>MAX(AF74:AF77)-MIN(AF74:AF77)+1</f>
        <v>4</v>
      </c>
      <c r="AG78" s="123">
        <f>MAX(AG74:AG77)-MIN(AG74:AG77)+1</f>
        <v>1</v>
      </c>
      <c r="AH78" s="123">
        <f>MAX(AH74:AH77)-MIN(AH74:AH77)+1</f>
        <v>4</v>
      </c>
      <c r="AI78" s="123">
        <f>MAX(AI74:AI77)+1</f>
        <v>7</v>
      </c>
      <c r="AL78" s="123">
        <f>MIN(AL74:AL77)</f>
        <v>-4</v>
      </c>
      <c r="AM78" s="123">
        <f>MAX(AM74:AM77)+1</f>
        <v>9</v>
      </c>
      <c r="AN78" s="123">
        <f>MAX(AN74:AN77)+1</f>
        <v>10</v>
      </c>
      <c r="AO78" s="123">
        <f>MAX(AO74:AO77)+1</f>
        <v>10</v>
      </c>
      <c r="AP78" s="123">
        <f>MAX(AP74:AP77)+1</f>
        <v>90000010.746944726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11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1</v>
      </c>
      <c r="AJ80" s="123">
        <f>VLOOKUP($AE80,$AE$8:$AQ$78,6,FALSE)</f>
        <v>3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4520.0007943299997</v>
      </c>
      <c r="AQ80" s="126">
        <f t="shared" ref="AQ80:AQ91" si="23">VLOOKUP($AE80,$AE$8:$AQ$78,13,FALSE)</f>
        <v>1588.66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Korea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Ⓖ Iran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2 - 3</v>
      </c>
      <c r="P81" s="98">
        <f>L81*3+M81</f>
        <v>4</v>
      </c>
      <c r="AD81" s="123">
        <f t="shared" ref="AD81:AD91" si="24">COUNTIF($AP$80:$AP$91,CONCATENATE("&gt;=",AP81))</f>
        <v>5</v>
      </c>
      <c r="AE81" s="124" t="str">
        <f>J17</f>
        <v>Bosnia and Herzegovina</v>
      </c>
      <c r="AF81" s="123">
        <f t="shared" ref="AF81:AF91" si="25">VLOOKUP($AE81,$AE$8:$AQ$78,2,FALSE)</f>
        <v>1</v>
      </c>
      <c r="AG81" s="123">
        <f>VLOOKUP($AE81,$AE$8:$AQ$78,3,FALSE)</f>
        <v>0</v>
      </c>
      <c r="AH81" s="123">
        <f t="shared" ref="AH81:AH90" si="26">VLOOKUP($AE81,$AE$8:$AQ$78,4,FALSE)</f>
        <v>2</v>
      </c>
      <c r="AI81" s="123">
        <f t="shared" ref="AI81:AI90" si="27">VLOOKUP($AE81,$AE$8:$AQ$78,5,FALSE)</f>
        <v>2</v>
      </c>
      <c r="AJ81" s="123">
        <f t="shared" ref="AJ81:AJ90" si="28">VLOOKUP($AE81,$AE$8:$AQ$78,6,FALSE)</f>
        <v>3</v>
      </c>
      <c r="AK81" s="123" t="s">
        <v>3181</v>
      </c>
      <c r="AL81" s="123">
        <f t="shared" ref="AL81:AL90" si="29">VLOOKUP($AE81,$AE$8:$AQ$78,8,FALSE)</f>
        <v>-1</v>
      </c>
      <c r="AM81" s="123">
        <f t="shared" ref="AM81:AM91" si="30">AL81-$AL$92</f>
        <v>4</v>
      </c>
      <c r="AN81" s="123">
        <f t="shared" ref="AN81:AN90" si="31">VLOOKUP($AE81,$AE$8:$AQ$78,10,FALSE)</f>
        <v>3</v>
      </c>
      <c r="AP81" s="123">
        <f>AN81/AN92*10000+AM81/AM92*1000+AI81/AI92*100+IF(AQ81=0,ROW(),AQ81)/2000000</f>
        <v>6706.6673595866669</v>
      </c>
      <c r="AQ81" s="126">
        <f t="shared" si="23"/>
        <v>1385.84</v>
      </c>
      <c r="AR81" s="125" t="str">
        <f>AR80&amp;IF(AD81&lt;=8,RIGHT(AK81,1),"")</f>
        <v>B</v>
      </c>
      <c r="AS81" s="129" t="str">
        <f t="shared" ref="AS81:AS91" si="32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33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4 - 4</v>
      </c>
      <c r="P82" s="101">
        <f t="shared" ref="P82:P92" si="34">L82*3+M82</f>
        <v>3</v>
      </c>
      <c r="AD82" s="123">
        <f t="shared" si="24"/>
        <v>12</v>
      </c>
      <c r="AE82" s="124" t="str">
        <f>J23</f>
        <v>Scotland</v>
      </c>
      <c r="AF82" s="123">
        <f t="shared" si="25"/>
        <v>0</v>
      </c>
      <c r="AG82" s="123">
        <f t="shared" ref="AG82:AG91" si="35">VLOOKUP($AE82,$AE$8:$AQ$78,3,FALSE)</f>
        <v>1</v>
      </c>
      <c r="AH82" s="123">
        <f t="shared" si="26"/>
        <v>2</v>
      </c>
      <c r="AI82" s="123">
        <f t="shared" si="27"/>
        <v>1</v>
      </c>
      <c r="AJ82" s="123">
        <f t="shared" si="28"/>
        <v>6</v>
      </c>
      <c r="AK82" s="123" t="s">
        <v>3182</v>
      </c>
      <c r="AL82" s="123">
        <f t="shared" si="29"/>
        <v>-5</v>
      </c>
      <c r="AM82" s="123">
        <f t="shared" si="30"/>
        <v>0</v>
      </c>
      <c r="AN82" s="123">
        <f t="shared" si="31"/>
        <v>1</v>
      </c>
      <c r="AP82" s="123">
        <f>AN82/AN92*10000+AM82/AM92*1000+AI82/AI92*100+IF(AQ82=0,ROW(),AQ82)/2000000</f>
        <v>2020.000749175</v>
      </c>
      <c r="AQ82" s="126">
        <f t="shared" si="23"/>
        <v>1498.35</v>
      </c>
      <c r="AR82" s="125" t="str">
        <f t="shared" ref="AR82:AR91" si="36">AR81&amp;IF(AD82&lt;=8,RIGHT(AK82,1),"")</f>
        <v>B</v>
      </c>
      <c r="AS82" s="129" t="str">
        <f t="shared" si="32"/>
        <v/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Ⓔ Ecuador</v>
      </c>
      <c r="K83" s="100">
        <f t="shared" si="33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4 - 4</v>
      </c>
      <c r="P83" s="101">
        <f t="shared" si="34"/>
        <v>3</v>
      </c>
      <c r="AD83" s="123">
        <f t="shared" si="24"/>
        <v>6</v>
      </c>
      <c r="AE83" s="124" t="str">
        <f>J29</f>
        <v>Australia</v>
      </c>
      <c r="AF83" s="123">
        <f t="shared" si="25"/>
        <v>1</v>
      </c>
      <c r="AG83" s="123">
        <f t="shared" si="35"/>
        <v>0</v>
      </c>
      <c r="AH83" s="123">
        <f t="shared" si="26"/>
        <v>2</v>
      </c>
      <c r="AI83" s="123">
        <f t="shared" si="27"/>
        <v>2</v>
      </c>
      <c r="AJ83" s="123">
        <f t="shared" si="28"/>
        <v>4</v>
      </c>
      <c r="AK83" s="123" t="s">
        <v>3184</v>
      </c>
      <c r="AL83" s="123">
        <f t="shared" si="29"/>
        <v>-2</v>
      </c>
      <c r="AM83" s="123">
        <f t="shared" si="30"/>
        <v>3</v>
      </c>
      <c r="AN83" s="123">
        <f t="shared" si="31"/>
        <v>3</v>
      </c>
      <c r="AP83" s="123">
        <f>AN83/AN92*10000+AM83/AM92*1000+AI83/AI92*100+IF(AQ83=0,ROW(),AQ83)/2000000</f>
        <v>6540.0007903349997</v>
      </c>
      <c r="AQ83" s="126">
        <f t="shared" si="23"/>
        <v>1580.67</v>
      </c>
      <c r="AR83" s="125" t="str">
        <f t="shared" si="36"/>
        <v>BD</v>
      </c>
      <c r="AS83" s="129" t="str">
        <f t="shared" si="32"/>
        <v>Australia</v>
      </c>
      <c r="AT83" s="130" t="str">
        <f>"Ⓓ "&amp;AE83</f>
        <v>Ⓓ Australia</v>
      </c>
    </row>
    <row r="84" spans="1:46" ht="15" customHeight="1" x14ac:dyDescent="0.3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Ⓚ DR Congo</v>
      </c>
      <c r="K84" s="100">
        <f t="shared" si="33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34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24"/>
        <v>3</v>
      </c>
      <c r="AE84" s="124" t="str">
        <f>J35</f>
        <v>Ecuador</v>
      </c>
      <c r="AF84" s="123">
        <f t="shared" si="25"/>
        <v>1</v>
      </c>
      <c r="AG84" s="123">
        <f t="shared" si="35"/>
        <v>0</v>
      </c>
      <c r="AH84" s="123">
        <f t="shared" si="26"/>
        <v>2</v>
      </c>
      <c r="AI84" s="123">
        <f t="shared" si="27"/>
        <v>4</v>
      </c>
      <c r="AJ84" s="123">
        <f t="shared" si="28"/>
        <v>4</v>
      </c>
      <c r="AK84" s="123" t="s">
        <v>3185</v>
      </c>
      <c r="AL84" s="123">
        <f t="shared" si="29"/>
        <v>0</v>
      </c>
      <c r="AM84" s="123">
        <f t="shared" si="30"/>
        <v>5</v>
      </c>
      <c r="AN84" s="123">
        <f t="shared" si="31"/>
        <v>3</v>
      </c>
      <c r="AP84" s="123">
        <f>AN84/AN92*10000+AM84/AM92*1000+AI84/AI92*100+IF(AQ84=0,ROW(),AQ84)/2000000</f>
        <v>6913.3341307233331</v>
      </c>
      <c r="AQ84" s="126">
        <f t="shared" si="23"/>
        <v>1594.78</v>
      </c>
      <c r="AR84" s="125" t="str">
        <f t="shared" si="36"/>
        <v>BDE</v>
      </c>
      <c r="AS84" s="129" t="str">
        <f t="shared" si="32"/>
        <v>Ecuador</v>
      </c>
      <c r="AT84" s="130" t="str">
        <f>"Ⓔ "&amp;AE84</f>
        <v>Ⓔ Ecuador</v>
      </c>
    </row>
    <row r="85" spans="1:46" ht="15" customHeight="1" x14ac:dyDescent="0.3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Ⓑ Bosnia and Herzegovina</v>
      </c>
      <c r="K85" s="100">
        <f t="shared" si="33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2 - 3</v>
      </c>
      <c r="P85" s="101">
        <f t="shared" si="34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24"/>
        <v>8</v>
      </c>
      <c r="AE85" s="124" t="str">
        <f>J41</f>
        <v>Sweden</v>
      </c>
      <c r="AF85" s="123">
        <f t="shared" si="25"/>
        <v>1</v>
      </c>
      <c r="AG85" s="123">
        <f t="shared" si="35"/>
        <v>0</v>
      </c>
      <c r="AH85" s="123">
        <f t="shared" si="26"/>
        <v>2</v>
      </c>
      <c r="AI85" s="123">
        <f t="shared" si="27"/>
        <v>1</v>
      </c>
      <c r="AJ85" s="123">
        <f t="shared" si="28"/>
        <v>3</v>
      </c>
      <c r="AK85" s="123" t="s">
        <v>3186</v>
      </c>
      <c r="AL85" s="123">
        <f t="shared" si="29"/>
        <v>-2</v>
      </c>
      <c r="AM85" s="123">
        <f t="shared" si="30"/>
        <v>3</v>
      </c>
      <c r="AN85" s="123">
        <f t="shared" si="31"/>
        <v>3</v>
      </c>
      <c r="AP85" s="123">
        <f>AN85/AN92*10000+AM85/AM92*1000+AI85/AI92*100+IF(AQ85=0,ROW(),AQ85)/2000000</f>
        <v>6520.0007573849998</v>
      </c>
      <c r="AQ85" s="126">
        <f t="shared" si="23"/>
        <v>1514.77</v>
      </c>
      <c r="AR85" s="125" t="str">
        <f t="shared" si="36"/>
        <v>BDEF</v>
      </c>
      <c r="AS85" s="129" t="str">
        <f t="shared" si="32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Ⓓ Australia</v>
      </c>
      <c r="K86" s="100">
        <f t="shared" si="33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2 - 4</v>
      </c>
      <c r="P86" s="101">
        <f t="shared" si="34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24"/>
        <v>1</v>
      </c>
      <c r="AE86" s="124" t="str">
        <f>J47</f>
        <v>Iran</v>
      </c>
      <c r="AF86" s="123">
        <f t="shared" si="25"/>
        <v>1</v>
      </c>
      <c r="AG86" s="123">
        <f t="shared" si="35"/>
        <v>1</v>
      </c>
      <c r="AH86" s="123">
        <f t="shared" si="26"/>
        <v>1</v>
      </c>
      <c r="AI86" s="123">
        <f t="shared" si="27"/>
        <v>2</v>
      </c>
      <c r="AJ86" s="123">
        <f t="shared" si="28"/>
        <v>3</v>
      </c>
      <c r="AK86" s="123" t="s">
        <v>3187</v>
      </c>
      <c r="AL86" s="123">
        <f t="shared" si="29"/>
        <v>-1</v>
      </c>
      <c r="AM86" s="123">
        <f t="shared" si="30"/>
        <v>4</v>
      </c>
      <c r="AN86" s="123">
        <f t="shared" si="31"/>
        <v>4</v>
      </c>
      <c r="AP86" s="123">
        <f>AN86/AN92*10000+AM86/AM92*1000+AI86/AI92*100+IF(AQ86=0,ROW(),AQ86)/2000000</f>
        <v>8706.6674743166659</v>
      </c>
      <c r="AQ86" s="126">
        <f t="shared" si="23"/>
        <v>1615.3</v>
      </c>
      <c r="AR86" s="125" t="str">
        <f t="shared" si="36"/>
        <v>BDEFG</v>
      </c>
      <c r="AS86" s="129" t="str">
        <f t="shared" si="32"/>
        <v>Iran</v>
      </c>
      <c r="AT86" s="130" t="str">
        <f>"Ⓖ "&amp;AE86</f>
        <v>Ⓖ Iran</v>
      </c>
    </row>
    <row r="87" spans="1:46" ht="15" customHeight="1" x14ac:dyDescent="0.3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Ⓛ Ghana</v>
      </c>
      <c r="K87" s="100">
        <f t="shared" si="33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34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24"/>
        <v>9</v>
      </c>
      <c r="AE87" s="124" t="str">
        <f>J53</f>
        <v>Cape Verde</v>
      </c>
      <c r="AF87" s="123">
        <f t="shared" si="25"/>
        <v>1</v>
      </c>
      <c r="AG87" s="123">
        <f t="shared" si="35"/>
        <v>0</v>
      </c>
      <c r="AH87" s="123">
        <f t="shared" si="26"/>
        <v>2</v>
      </c>
      <c r="AI87" s="123">
        <f t="shared" si="27"/>
        <v>1</v>
      </c>
      <c r="AJ87" s="123">
        <f t="shared" si="28"/>
        <v>4</v>
      </c>
      <c r="AK87" s="123" t="s">
        <v>3188</v>
      </c>
      <c r="AL87" s="123">
        <f t="shared" si="29"/>
        <v>-3</v>
      </c>
      <c r="AM87" s="123">
        <f t="shared" si="30"/>
        <v>2</v>
      </c>
      <c r="AN87" s="123">
        <f t="shared" si="31"/>
        <v>3</v>
      </c>
      <c r="AP87" s="123">
        <f>AN87/AN92*10000+AM87/AM92*1000+AI87/AI92*100+IF(AQ87=0,ROW(),AQ87)/2000000</f>
        <v>6353.334016398333</v>
      </c>
      <c r="AQ87" s="126">
        <f t="shared" si="23"/>
        <v>1366.13</v>
      </c>
      <c r="AR87" s="125" t="str">
        <f t="shared" si="36"/>
        <v>BDEFG</v>
      </c>
      <c r="AS87" s="129" t="str">
        <f t="shared" si="32"/>
        <v/>
      </c>
      <c r="AT87" s="130" t="str">
        <f>"Ⓗ "&amp;AE87</f>
        <v>Ⓗ Cape Verde</v>
      </c>
    </row>
    <row r="88" spans="1:46" ht="15" customHeight="1" x14ac:dyDescent="0.3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Ⓕ Sweden</v>
      </c>
      <c r="K88" s="100">
        <f t="shared" si="33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1 - 3</v>
      </c>
      <c r="P88" s="101">
        <f t="shared" si="34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24"/>
        <v>2</v>
      </c>
      <c r="AE88" s="124" t="str">
        <f>J59</f>
        <v>Senegal</v>
      </c>
      <c r="AF88" s="123">
        <f t="shared" si="25"/>
        <v>1</v>
      </c>
      <c r="AG88" s="123">
        <f t="shared" si="35"/>
        <v>0</v>
      </c>
      <c r="AH88" s="123">
        <f t="shared" si="26"/>
        <v>2</v>
      </c>
      <c r="AI88" s="123">
        <f t="shared" si="27"/>
        <v>4</v>
      </c>
      <c r="AJ88" s="123">
        <f t="shared" si="28"/>
        <v>4</v>
      </c>
      <c r="AK88" s="123" t="s">
        <v>3189</v>
      </c>
      <c r="AL88" s="123">
        <f t="shared" si="29"/>
        <v>0</v>
      </c>
      <c r="AM88" s="123">
        <f t="shared" si="30"/>
        <v>5</v>
      </c>
      <c r="AN88" s="123">
        <f t="shared" si="31"/>
        <v>3</v>
      </c>
      <c r="AP88" s="123">
        <f>AN88/AN92*10000+AM88/AM92*1000+AI88/AI92*100+IF(AQ88=0,ROW(),AQ88)/2000000</f>
        <v>6913.3341778283329</v>
      </c>
      <c r="AQ88" s="126">
        <f t="shared" si="23"/>
        <v>1688.99</v>
      </c>
      <c r="AR88" s="125" t="str">
        <f t="shared" si="36"/>
        <v>BDEFGI</v>
      </c>
      <c r="AS88" s="129" t="str">
        <f t="shared" si="32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Cape Verde</v>
      </c>
      <c r="K89" s="103">
        <f t="shared" si="33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1 - 4</v>
      </c>
      <c r="P89" s="104">
        <f t="shared" si="34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24"/>
        <v>10</v>
      </c>
      <c r="AE89" s="124" t="str">
        <f>J65</f>
        <v>Algeria</v>
      </c>
      <c r="AF89" s="123">
        <f t="shared" si="25"/>
        <v>0</v>
      </c>
      <c r="AG89" s="123">
        <f t="shared" si="35"/>
        <v>2</v>
      </c>
      <c r="AH89" s="123">
        <f t="shared" si="26"/>
        <v>1</v>
      </c>
      <c r="AI89" s="123">
        <f t="shared" si="27"/>
        <v>2</v>
      </c>
      <c r="AJ89" s="123">
        <f t="shared" si="28"/>
        <v>3</v>
      </c>
      <c r="AK89" s="123" t="s">
        <v>3190</v>
      </c>
      <c r="AL89" s="123">
        <f t="shared" si="29"/>
        <v>-1</v>
      </c>
      <c r="AM89" s="123">
        <f t="shared" si="30"/>
        <v>4</v>
      </c>
      <c r="AN89" s="123">
        <f t="shared" si="31"/>
        <v>2</v>
      </c>
      <c r="AP89" s="123">
        <f>AN89/AN92*10000+AM89/AM92*1000+AI89/AI92*100+IF(AQ89=0,ROW(),AQ89)/2000000</f>
        <v>4706.6674487966666</v>
      </c>
      <c r="AQ89" s="126">
        <f t="shared" si="23"/>
        <v>1564.26</v>
      </c>
      <c r="AR89" s="125" t="str">
        <f t="shared" si="36"/>
        <v>BDEFGI</v>
      </c>
      <c r="AS89" s="129" t="str">
        <f t="shared" si="32"/>
        <v/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33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2 - 3</v>
      </c>
      <c r="P90" s="104">
        <f t="shared" si="34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24"/>
        <v>4</v>
      </c>
      <c r="AE90" s="124" t="str">
        <f>J71</f>
        <v>DR Congo</v>
      </c>
      <c r="AF90" s="123">
        <f t="shared" si="25"/>
        <v>1</v>
      </c>
      <c r="AG90" s="123">
        <f t="shared" si="35"/>
        <v>0</v>
      </c>
      <c r="AH90" s="123">
        <f t="shared" si="26"/>
        <v>2</v>
      </c>
      <c r="AI90" s="123">
        <f t="shared" si="27"/>
        <v>3</v>
      </c>
      <c r="AJ90" s="123">
        <f t="shared" si="28"/>
        <v>4</v>
      </c>
      <c r="AK90" s="123" t="s">
        <v>3191</v>
      </c>
      <c r="AL90" s="123">
        <f t="shared" si="29"/>
        <v>-1</v>
      </c>
      <c r="AM90" s="123">
        <f t="shared" si="30"/>
        <v>4</v>
      </c>
      <c r="AN90" s="123">
        <f t="shared" si="31"/>
        <v>3</v>
      </c>
      <c r="AP90" s="123">
        <f>AN90/AN92*10000+AM90/AM92*1000+AI90/AI92*100+IF(AQ90=0,ROW(),AQ90)/2000000</f>
        <v>6726.6674058416666</v>
      </c>
      <c r="AQ90" s="126">
        <f t="shared" si="23"/>
        <v>1478.35</v>
      </c>
      <c r="AR90" s="125" t="str">
        <f t="shared" si="36"/>
        <v>BDEFGIK</v>
      </c>
      <c r="AS90" s="129" t="str">
        <f t="shared" si="32"/>
        <v>DR Congo</v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Ⓐ Korea Republic</v>
      </c>
      <c r="K91" s="103">
        <f t="shared" si="33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1 - 3</v>
      </c>
      <c r="P91" s="104">
        <f t="shared" si="34"/>
        <v>2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Senegal</v>
      </c>
      <c r="T91" s="127" t="str" cm="1">
        <f t="array" ref="T91">IF(OR(S91="",S91="draw"),INDEX(T,93,lang),S91)</f>
        <v>Senegal</v>
      </c>
      <c r="AD91" s="123">
        <f t="shared" si="24"/>
        <v>7</v>
      </c>
      <c r="AE91" s="124" t="str">
        <f>J77</f>
        <v>Ghana</v>
      </c>
      <c r="AF91" s="123">
        <f t="shared" si="25"/>
        <v>1</v>
      </c>
      <c r="AG91" s="123">
        <f t="shared" si="35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30"/>
        <v>3</v>
      </c>
      <c r="AN91" s="123">
        <f>VLOOKUP($AE91,$AE$8:$AQ$78,10,FALSE)</f>
        <v>3</v>
      </c>
      <c r="AP91" s="123">
        <f>AN91/AN92*10000+AM91/AM92*1000+AI91/AI92*100+IF(AQ91=0,ROW(),AQ91)/2000000</f>
        <v>6540.0006731550002</v>
      </c>
      <c r="AQ91" s="126">
        <f t="shared" si="23"/>
        <v>1346.31</v>
      </c>
      <c r="AR91" s="125" t="str">
        <f t="shared" si="36"/>
        <v>BDEFGIKL</v>
      </c>
      <c r="AS91" s="129" t="str">
        <f t="shared" si="32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Ⓒ Scotland</v>
      </c>
      <c r="K92" s="106">
        <f t="shared" si="33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34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Senegal</v>
      </c>
      <c r="T98" s="127" t="str" cm="1">
        <f t="array" ref="T98">IF(OR(S98="",S98="draw"),INDEX(T,97,lang),S98)</f>
        <v>Senegal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Senegal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Senegal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73</v>
      </c>
      <c r="C3" s="121" t="str">
        <f>'2026 World Cup'!AR91</f>
        <v>BDEFGIKL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3I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403D36-C26D-4B93-919B-C78867422A1E}"/>
</file>

<file path=customXml/itemProps2.xml><?xml version="1.0" encoding="utf-8"?>
<ds:datastoreItem xmlns:ds="http://schemas.openxmlformats.org/officeDocument/2006/customXml" ds:itemID="{6FAB98BB-95EE-4960-93E3-5949F00A34CB}"/>
</file>

<file path=customXml/itemProps3.xml><?xml version="1.0" encoding="utf-8"?>
<ds:datastoreItem xmlns:ds="http://schemas.openxmlformats.org/officeDocument/2006/customXml" ds:itemID="{B3DD7C7C-90AA-45B2-B8ED-5512FB709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2026-06-11T19:52:30Z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