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B4C6B671-3099-425E-82BA-8431F56F64AB}" xr6:coauthVersionLast="47" xr6:coauthVersionMax="47" xr10:uidLastSave="{00000000-0000-0000-0000-000000000000}"/>
  <bookViews>
    <workbookView xWindow="5124" yWindow="0" windowWidth="17280" windowHeight="8964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T18" i="3"/>
  <c r="T41" i="3"/>
  <c r="S40" i="3"/>
  <c r="S62" i="3"/>
  <c r="S38" i="3"/>
  <c r="S65" i="3"/>
  <c r="S55" i="3"/>
  <c r="T11" i="3"/>
  <c r="S57" i="3"/>
  <c r="T60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/>
  <c r="AP20" i="3" s="1"/>
  <c r="BI26" i="3"/>
  <c r="AP26" i="3" s="1"/>
  <c r="BI69" i="3" l="1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10" i="3" l="1"/>
  <c r="AR11" i="3"/>
  <c r="AD58" i="3"/>
  <c r="AR70" i="3"/>
  <c r="AR69" i="3"/>
  <c r="AR35" i="3"/>
  <c r="AR71" i="3"/>
  <c r="AR9" i="3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9" i="3" l="1"/>
  <c r="AD34" i="3"/>
  <c r="AD68" i="3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J70" i="3" l="1"/>
  <c r="AS69" i="3" s="1"/>
  <c r="BL26" i="3" s="1"/>
  <c r="J69" i="3"/>
  <c r="AS68" i="3" s="1"/>
  <c r="BL70" i="3" s="1"/>
  <c r="J72" i="3"/>
  <c r="J71" i="3"/>
  <c r="AE90" i="3" s="1"/>
  <c r="AQ90" i="3" s="1"/>
  <c r="M69" i="3"/>
  <c r="O69" i="3"/>
  <c r="L69" i="3"/>
  <c r="N71" i="3"/>
  <c r="O72" i="3"/>
  <c r="N72" i="3"/>
  <c r="M72" i="3"/>
  <c r="O71" i="3"/>
  <c r="N69" i="3"/>
  <c r="L72" i="3"/>
  <c r="O70" i="3"/>
  <c r="M71" i="3"/>
  <c r="L71" i="3"/>
  <c r="J36" i="3"/>
  <c r="L70" i="3"/>
  <c r="J33" i="3"/>
  <c r="AS32" i="3" s="1"/>
  <c r="BL10" i="3" s="1"/>
  <c r="N70" i="3"/>
  <c r="M70" i="3"/>
  <c r="N36" i="3"/>
  <c r="L36" i="3"/>
  <c r="M35" i="3"/>
  <c r="N35" i="3"/>
  <c r="O36" i="3"/>
  <c r="O34" i="3"/>
  <c r="M34" i="3"/>
  <c r="N10" i="3"/>
  <c r="J10" i="3"/>
  <c r="AS9" i="3" s="1"/>
  <c r="BL18" i="3" s="1"/>
  <c r="S88" i="3" s="1"/>
  <c r="T88" i="3" s="1" a="1"/>
  <c r="T8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S86" i="3"/>
  <c r="T86" i="3" s="1" a="1"/>
  <c r="T86" i="3" s="1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BS28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BZ48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AF90" i="3"/>
  <c r="BS61" i="3" l="1"/>
  <c r="AG90" i="3"/>
  <c r="AH90" i="3"/>
  <c r="K69" i="3"/>
  <c r="AT90" i="3"/>
  <c r="AN90" i="3"/>
  <c r="AL90" i="3"/>
  <c r="AJ90" i="3"/>
  <c r="AI90" i="3"/>
  <c r="P69" i="3"/>
  <c r="K71" i="3"/>
  <c r="K72" i="3"/>
  <c r="P72" i="3"/>
  <c r="K70" i="3"/>
  <c r="P70" i="3"/>
  <c r="P71" i="3"/>
  <c r="K36" i="3"/>
  <c r="P35" i="3"/>
  <c r="P34" i="3"/>
  <c r="P12" i="3"/>
  <c r="P33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S111" i="3" s="1"/>
  <c r="T111" i="3" s="1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BS68" i="3" s="1"/>
  <c r="J3" i="4"/>
  <c r="BL71" i="3" s="1"/>
  <c r="I3" i="4"/>
  <c r="BL15" i="3" s="1"/>
  <c r="D3" i="4"/>
  <c r="BL51" i="3" s="1"/>
  <c r="BS53" i="3"/>
  <c r="BS52" i="3"/>
  <c r="BZ49" i="3" s="1"/>
  <c r="CG55" i="3" s="1"/>
  <c r="BS69" i="3"/>
  <c r="BZ65" i="3" l="1"/>
  <c r="CG56" i="3" s="1"/>
  <c r="CN38" i="3" s="1"/>
  <c r="S91" i="3"/>
  <c r="T91" i="3" s="1" a="1"/>
  <c r="T91" i="3" s="1"/>
  <c r="BS37" i="3"/>
  <c r="CN49" i="3" l="1"/>
  <c r="S98" i="3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<sst xmlns="http://schemas.openxmlformats.org/spreadsheetml/2006/main" count="9786" uniqueCount="3698">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</sst>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63" zoomScaleNormal="100" workbookViewId="0">
      <selection activeCell="BS98" sqref="BS98"/>
    </sheetView>
  </sheetViews>
  <sheetFormatPr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3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1</v>
      </c>
      <c r="AL8" s="123">
        <f>AI8-AJ8</f>
        <v>5</v>
      </c>
      <c r="AM8" s="123">
        <f>AL8-AL12</f>
        <v>10</v>
      </c>
      <c r="AN8" s="123">
        <f>AF8*3+AG8</f>
        <v>7</v>
      </c>
      <c r="AO8" s="123">
        <f>AN8/AN12*10+BA8</f>
        <v>9.7305825242718456</v>
      </c>
      <c r="AP8" s="123">
        <f>AO8*10000000+BI8*100+AM8/AM12*10+AI8/AI12*1++IF(AQ8=0,ROW(),AQ8)/2000000</f>
        <v>97305933.249863341</v>
      </c>
      <c r="AQ8" s="126">
        <f>VLOOKUP(AE8,db_fifarank,2,FALSE)</f>
        <v>1681.03</v>
      </c>
      <c r="AR8" s="125">
        <f>AP8/AP12</f>
        <v>0.99999998972313453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50.5</v>
      </c>
      <c r="BA8" s="126">
        <f>AZ8/AZ12</f>
        <v>0.98058252427184467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1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50.5</v>
      </c>
      <c r="BI8" s="126">
        <f>BH8/BH12</f>
        <v>0.98058252427184467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2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6 - 1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6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0.14357200785714286</v>
      </c>
      <c r="AQ9" s="126">
        <f>VLOOKUP(AE9,db_fifarank,2,FALSE)</f>
        <v>1429.73</v>
      </c>
      <c r="AR9" s="125">
        <f>AP9/AP12</f>
        <v>1.4754702163228497E-9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1</v>
      </c>
      <c r="N10" s="23">
        <f>VLOOKUP(2,AD8:AN11,5,FALSE)</f>
        <v>0</v>
      </c>
      <c r="O10" s="23" t="str">
        <f>VLOOKUP(2,AD8:AN11,6,FALSE) &amp; " - " &amp; VLOOKUP(2,AD8:AN11,7,FALSE)</f>
        <v>4 - 2</v>
      </c>
      <c r="P10" s="34">
        <f>L10*3+M10</f>
        <v>7</v>
      </c>
      <c r="R10" s="123">
        <f>DATE(2026,6,12)+TIME(14,0,0)+gmt_delta</f>
        <v>46186.041666666672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1</v>
      </c>
      <c r="V10" s="123">
        <f t="shared" si="3"/>
        <v>1</v>
      </c>
      <c r="W10" s="123">
        <f t="shared" si="4"/>
        <v>1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2</v>
      </c>
      <c r="AL10" s="123">
        <f>AI10-AJ10</f>
        <v>2</v>
      </c>
      <c r="AM10" s="123">
        <f>AL10-AL12</f>
        <v>7</v>
      </c>
      <c r="AN10" s="123">
        <f>AF10*3+AG10</f>
        <v>7</v>
      </c>
      <c r="AO10" s="123">
        <f>AN10/AN12*10+BA10</f>
        <v>9.7305825242718456</v>
      </c>
      <c r="AP10" s="123">
        <f>AO10*10000000+BI10*100+AM10/AM12*10+AI10/AI12*1++IF(AQ10=0,ROW(),AQ10)/2000000</f>
        <v>97305930.236830145</v>
      </c>
      <c r="AQ10" s="126">
        <f>VLOOKUP(AE10,db_fifarank,2,FALSE)</f>
        <v>1588.66</v>
      </c>
      <c r="AR10" s="125">
        <f>AP10/AP12</f>
        <v>0.99999995875859748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1 - 3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1</v>
      </c>
      <c r="AJ11" s="123">
        <f>SUMIF($E$7:$E$78,$AE11,$G$7:$G$78) + SUMIF($H$7:$H$78,$AE11,$F$7:$F$78)</f>
        <v>3</v>
      </c>
      <c r="AL11" s="123">
        <f>AI11-AJ11</f>
        <v>-2</v>
      </c>
      <c r="AM11" s="123">
        <f>AL11-AL12</f>
        <v>3</v>
      </c>
      <c r="AN11" s="123">
        <f>AF11*3+AG11</f>
        <v>3</v>
      </c>
      <c r="AO11" s="123">
        <f>AN11/AN12*10+BA11</f>
        <v>3.75</v>
      </c>
      <c r="AP11" s="123">
        <f>AO11*10000000+BI11*100+AM11/AM12*10+AI11/AI12*1++IF(AQ11=0,ROW(),AQ11)/2000000</f>
        <v>37500002.870880559</v>
      </c>
      <c r="AQ11" s="126">
        <f>VLOOKUP(AE11,db_fifarank,2,FALSE)</f>
        <v>1501.38</v>
      </c>
      <c r="AR11" s="125">
        <f>AP11/AP12</f>
        <v>0.38538248627866417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United States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1 - 6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7</v>
      </c>
      <c r="AL12" s="123">
        <f>MIN(AL8:AL11)</f>
        <v>-5</v>
      </c>
      <c r="AM12" s="123">
        <f>MAX(AM8:AM11)+1</f>
        <v>11</v>
      </c>
      <c r="AN12" s="123">
        <f>MAX(AN8:AN11)+1</f>
        <v>8</v>
      </c>
      <c r="AO12" s="123">
        <f>MAX(AO8:AO11)+1</f>
        <v>10.730582524271846</v>
      </c>
      <c r="AP12" s="123">
        <f>MAX(AP8:AP11)+1</f>
        <v>97305934.249863341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>
        <v>0</v>
      </c>
      <c r="BV12" s="25">
        <v>4</v>
      </c>
      <c r="BW12" s="112">
        <f>IF(OR(BT12="",BT13="",AND(BU12="",BU13&lt;&gt;""),AND(BU13="",BU12&lt;&gt;""),AND(BV12="",BV13&lt;&gt;""),AND(BV13="",BV12&lt;&gt;"")),"",BT12*1000+BU12*10+BV12)</f>
        <v>4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0</v>
      </c>
      <c r="BU13" s="64">
        <v>0</v>
      </c>
      <c r="BV13" s="27">
        <v>3</v>
      </c>
      <c r="BW13" s="113">
        <f>IF(BW12="","",BT13*1000+BU13*10+BV13)</f>
        <v>3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4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1</v>
      </c>
      <c r="AL14" s="123">
        <f>AI14-AJ14</f>
        <v>3</v>
      </c>
      <c r="AM14" s="123">
        <f>AL14-AL18</f>
        <v>8</v>
      </c>
      <c r="AN14" s="123">
        <f>AF14*3+AG14</f>
        <v>7</v>
      </c>
      <c r="AO14" s="123">
        <f>AN14/AN18*10+BA14</f>
        <v>9.7401477832512313</v>
      </c>
      <c r="AP14" s="123">
        <f>AO14*10000000+BI14*100+AM14/AM18*10+AI14/AI18*1++IF(AQ14=0,ROW(),AQ14)/2000000</f>
        <v>97401584.620796159</v>
      </c>
      <c r="AQ14" s="126">
        <f>VLOOKUP(AE14,db_fifarank,2,FALSE)</f>
        <v>1556.48</v>
      </c>
      <c r="AR14" s="125">
        <f>AP14/AP18</f>
        <v>0.99999996721584972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100.5</v>
      </c>
      <c r="BA14" s="126">
        <f>AZ14/AZ18</f>
        <v>0.99014778325123154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100.5</v>
      </c>
      <c r="BI14" s="126">
        <f>BH14/BH18</f>
        <v>0.99014778325123154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3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7 - 2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4</v>
      </c>
      <c r="AL15" s="123">
        <f>AI15-AJ15</f>
        <v>-3</v>
      </c>
      <c r="AM15" s="123">
        <f>AL15-AL18</f>
        <v>2</v>
      </c>
      <c r="AN15" s="123">
        <f>AF15*3+AG15</f>
        <v>1</v>
      </c>
      <c r="AO15" s="123">
        <f>AN15/AN18*10+BA15</f>
        <v>2.2352216748768474</v>
      </c>
      <c r="AP15" s="123">
        <f>AO15*10000000+BI15*100+AM15/AM18*10+AI15/AI18*1++IF(AQ15=0,ROW(),AQ15)/2000000</f>
        <v>22352317.214810699</v>
      </c>
      <c r="AQ15" s="126">
        <f>VLOOKUP(AE15,db_fifarank,2,FALSE)</f>
        <v>1385.84</v>
      </c>
      <c r="AR15" s="125">
        <f>AP15/AP18</f>
        <v>0.22948616872128938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100</v>
      </c>
      <c r="BA15" s="126">
        <f>AZ15/AZ18</f>
        <v>0.98522167487684731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100</v>
      </c>
      <c r="BI15" s="126">
        <f>BH15/BH18</f>
        <v>0.98522167487684731</v>
      </c>
      <c r="BK15" s="142"/>
      <c r="BL15" s="26" t="str">
        <f>IF(group_round_completed,VLOOKUP('3rd places'!I3,AK80:AS91,9,FALSE),"3rd Group C/D/F/G/H")</f>
        <v>Tunisia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6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4 - 1</v>
      </c>
      <c r="P16" s="34">
        <f>L16*3+M16</f>
        <v>7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1</v>
      </c>
      <c r="AO16" s="123">
        <f>AN16/AN18*10+BA16</f>
        <v>2.2352216748768474</v>
      </c>
      <c r="AP16" s="123">
        <f>AO16*10000000+BI16*100+AM16/AM18*10+AI16/AI18*1++IF(AQ16=0,ROW(),AQ16)/2000000</f>
        <v>22352315.271663442</v>
      </c>
      <c r="AQ16" s="126">
        <f>VLOOKUP(AE16,db_fifarank,2,FALSE)</f>
        <v>1454.96</v>
      </c>
      <c r="AR16" s="125">
        <f>AP16/AP18</f>
        <v>0.22948614877143744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100</v>
      </c>
      <c r="BA16" s="126">
        <f>AZ16/AZ18</f>
        <v>0.98522167487684731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100</v>
      </c>
      <c r="BI16" s="126">
        <f>BH16/BH18</f>
        <v>0.98522167487684731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Germany</v>
      </c>
      <c r="CA16" s="61">
        <v>1</v>
      </c>
      <c r="CB16" s="63">
        <v>2</v>
      </c>
      <c r="CC16" s="25"/>
      <c r="CD16" s="112">
        <f>IF(OR(CA16="",CA17="",AND(CB16="",CB17&lt;&gt;""),AND(CB17="",CB16&lt;&gt;""),AND(CC16="",CC17&lt;&gt;""),AND(CC17="",CC16&lt;&gt;"")),"",CA16*1000+CB16*10+CC16)</f>
        <v>1020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1 - 4</v>
      </c>
      <c r="P17" s="34">
        <f>L17*3+M17</f>
        <v>1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2</v>
      </c>
      <c r="AL17" s="123">
        <f>AI17-AJ17</f>
        <v>5</v>
      </c>
      <c r="AM17" s="123">
        <f>AL17-AL18</f>
        <v>10</v>
      </c>
      <c r="AN17" s="123">
        <f>AF17*3+AG17</f>
        <v>7</v>
      </c>
      <c r="AO17" s="123">
        <f>AN17/AN18*10+BA17</f>
        <v>9.7401477832512313</v>
      </c>
      <c r="AP17" s="123">
        <f>AO17*10000000+BI17*100+AM17/AM18*10+AI17/AI18*1++IF(AQ17=0,ROW(),AQ17)/2000000</f>
        <v>97401586.814024448</v>
      </c>
      <c r="AQ17" s="126">
        <f>VLOOKUP(AE17,db_fifarank,2,FALSE)</f>
        <v>1649.4</v>
      </c>
      <c r="AR17" s="125">
        <f>AP17/AP18</f>
        <v>0.9999999897332269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100.5</v>
      </c>
      <c r="BA17" s="126">
        <f>AZ17/AZ18</f>
        <v>0.99014778325123154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100.5</v>
      </c>
      <c r="BI17" s="126">
        <f>BH17/BH18</f>
        <v>0.99014778325123154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>
        <v>1</v>
      </c>
      <c r="CC17" s="27"/>
      <c r="CD17" s="113">
        <f>IF(CD16="","",CA17*1000+CB17*10+CC17)</f>
        <v>1010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0 - 5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1</v>
      </c>
      <c r="W18" s="123">
        <f t="shared" si="4"/>
        <v>1</v>
      </c>
      <c r="X18" s="123">
        <f t="shared" si="9"/>
        <v>1</v>
      </c>
      <c r="Y18" s="123">
        <f t="shared" si="10"/>
        <v>1</v>
      </c>
      <c r="Z18" s="123">
        <f t="shared" si="11"/>
        <v>1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1</v>
      </c>
      <c r="AH18" s="123">
        <f t="shared" si="13"/>
        <v>3</v>
      </c>
      <c r="AI18" s="123">
        <f>MAX(AI14:AI17)+1</f>
        <v>8</v>
      </c>
      <c r="AL18" s="123">
        <f>MIN(AL14:AL17)</f>
        <v>-5</v>
      </c>
      <c r="AM18" s="123">
        <f>MAX(AM14:AM17)+1</f>
        <v>11</v>
      </c>
      <c r="AN18" s="123">
        <f>MAX(AN14:AN17)+1</f>
        <v>8</v>
      </c>
      <c r="AO18" s="123">
        <f>MAX(AO14:AO17)+1</f>
        <v>10.740147783251231</v>
      </c>
      <c r="AP18" s="123">
        <f>MAX(AP14:AP17)+1</f>
        <v>97401587.814024448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101.5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101.5</v>
      </c>
      <c r="BK18" s="141">
        <v>73</v>
      </c>
      <c r="BL18" s="24" t="str">
        <f>AS9</f>
        <v>Korea Republic</v>
      </c>
      <c r="BM18" s="61">
        <v>1</v>
      </c>
      <c r="BN18" s="63">
        <v>2</v>
      </c>
      <c r="BO18" s="25"/>
      <c r="BP18" s="112">
        <f>IF(OR(BM18="",BM19="",AND(BN18="",BN19&lt;&gt;""),AND(BN19="",BN18&lt;&gt;""),AND(BO18="",BO19&lt;&gt;""),AND(BO19="",BO18&lt;&gt;"")),"",BM18*1000+BN18*10+BO18)</f>
        <v>1020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1</v>
      </c>
      <c r="BN19" s="64">
        <v>1</v>
      </c>
      <c r="BO19" s="27"/>
      <c r="BP19" s="113">
        <f>IF(BP18="","",BM19*1000+BN19*10+BO19)</f>
        <v>1010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6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3</v>
      </c>
      <c r="AL20" s="123">
        <f>AI20-AJ20</f>
        <v>6</v>
      </c>
      <c r="AM20" s="123">
        <f>AL20-AL24</f>
        <v>14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97306559.32829994</v>
      </c>
      <c r="AQ20" s="126">
        <f>VLOOKUP(AE20,db_fifarank,2,FALSE)</f>
        <v>1761.16</v>
      </c>
      <c r="AR20" s="125">
        <f>AP20/AP24</f>
        <v>0.99999998330022832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9 - 2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1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9</v>
      </c>
      <c r="AJ21" s="123">
        <f>SUMIF($E$7:$E$78,$AE21,$G$7:$G$78) + SUMIF($H$7:$H$78,$AE21,$F$7:$F$78)</f>
        <v>2</v>
      </c>
      <c r="AL21" s="123">
        <f>AI21-AJ21</f>
        <v>7</v>
      </c>
      <c r="AM21" s="123">
        <f>AL21-AL24</f>
        <v>15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97306559.953297287</v>
      </c>
      <c r="AQ21" s="126">
        <f>VLOOKUP(AE21,db_fifarank,2,FALSE)</f>
        <v>1755.87</v>
      </c>
      <c r="AR21" s="125">
        <f>AP21/AP24</f>
        <v>0.9999999897232007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9 - 3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6.6373222285594998E-12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>
        <v>3</v>
      </c>
      <c r="BO22" s="25"/>
      <c r="BP22" s="116">
        <f>IF(OR(BM22="",BM23="",AND(BN22="",BN23&lt;&gt;""),AND(BN23="",BN22&lt;&gt;""),AND(BO22="",BO23&lt;&gt;""),AND(BO23="",BO22&lt;&gt;"")),"",BM22*1000+BN22*10+BO22)</f>
        <v>2030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1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2 - 7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7</v>
      </c>
      <c r="AL23" s="123">
        <f>AI23-AJ23</f>
        <v>-5</v>
      </c>
      <c r="AM23" s="123">
        <f>AL23-AL24</f>
        <v>3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37500002.075749181</v>
      </c>
      <c r="AQ23" s="126">
        <f>VLOOKUP(AE23,db_fifarank,2,FALSE)</f>
        <v>1498.35</v>
      </c>
      <c r="AR23" s="125">
        <f>AP23/AP24</f>
        <v>0.38537999604926404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Brazil</v>
      </c>
      <c r="BM23" s="62">
        <v>2</v>
      </c>
      <c r="BN23" s="64">
        <v>2</v>
      </c>
      <c r="BO23" s="27"/>
      <c r="BP23" s="112">
        <f>IF(BP22="","",BM23*1000+BN23*10+BO23)</f>
        <v>2020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Germany</v>
      </c>
      <c r="CH23" s="61">
        <v>0</v>
      </c>
      <c r="CI23" s="63">
        <v>0</v>
      </c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10</v>
      </c>
      <c r="AL24" s="123">
        <f>MIN(AL20:AL23)</f>
        <v>-8</v>
      </c>
      <c r="AM24" s="123">
        <f>MAX(AM20:AM23)+1</f>
        <v>16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97306560.953297287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0</v>
      </c>
      <c r="CI24" s="64">
        <v>1</v>
      </c>
      <c r="CJ24" s="27"/>
      <c r="CK24" s="113">
        <f>IF(CK23="","",CH24*1000+CI24*10+CJ24)</f>
        <v>10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2</v>
      </c>
      <c r="AJ26" s="123">
        <f>SUMIF($E$7:$E$78,$AE26,$G$7:$G$78) + SUMIF($H$7:$H$78,$AE26,$F$7:$F$78)</f>
        <v>1</v>
      </c>
      <c r="AL26" s="123">
        <f>AI26-AJ26</f>
        <v>1</v>
      </c>
      <c r="AM26" s="123">
        <f>AL26-AL30</f>
        <v>4</v>
      </c>
      <c r="AN26" s="123">
        <f>AF26*3+AG26</f>
        <v>5</v>
      </c>
      <c r="AO26" s="123">
        <f>AN26/AN30*10+BA26</f>
        <v>9.3138211382113827</v>
      </c>
      <c r="AP26" s="123">
        <f>AO26*10000000+BI26*100+AM26/AM30*10+AI26/AI30*1++IF(AQ26=0,ROW(),AQ26)/2000000</f>
        <v>93138317.922166079</v>
      </c>
      <c r="AQ26" s="126">
        <f>VLOOKUP(AE26,db_fifarank,2,FALSE)</f>
        <v>1673.13</v>
      </c>
      <c r="AR26" s="125">
        <f>AP26/AP30</f>
        <v>0.99947756985783742</v>
      </c>
      <c r="AS26" s="125" t="str">
        <f>IF(SUM(AF26:AH29)=12,J27,"1D")</f>
        <v>Paraguay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2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66.999999999999986</v>
      </c>
      <c r="BA26" s="126">
        <f>AZ26/AZ30</f>
        <v>0.98048780487804865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</v>
      </c>
      <c r="BI26" s="126">
        <f>BH26/BH30</f>
        <v>0.98039215686274506</v>
      </c>
      <c r="BK26" s="141">
        <v>83</v>
      </c>
      <c r="BL26" s="24" t="str">
        <f>AS69</f>
        <v>Colombia</v>
      </c>
      <c r="BM26" s="61">
        <v>0</v>
      </c>
      <c r="BN26" s="63">
        <v>1</v>
      </c>
      <c r="BO26" s="25">
        <v>3</v>
      </c>
      <c r="BP26" s="112">
        <f>IF(OR(BM26="",BM27="",AND(BN26="",BN27&lt;&gt;""),AND(BN27="",BN26&lt;&gt;""),AND(BO26="",BO27&lt;&gt;""),AND(BO27="",BO26&lt;&gt;"")),"",BM26*1000+BN26*10+BO26)</f>
        <v>13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0</v>
      </c>
      <c r="G27" s="20">
        <v>1</v>
      </c>
      <c r="H27" s="80" t="str">
        <f>AE77</f>
        <v>Panama</v>
      </c>
      <c r="J27" s="30" t="str">
        <f>VLOOKUP(1,AD26:AN29,2,FALSE)</f>
        <v>Paraguay</v>
      </c>
      <c r="K27" s="31">
        <f>L27+M27+N27</f>
        <v>3</v>
      </c>
      <c r="L27" s="31">
        <f>VLOOKUP(1,AD26:AN29,3,FALSE)</f>
        <v>1</v>
      </c>
      <c r="M27" s="31">
        <f>VLOOKUP(1,AD26:AN29,4,FALSE)</f>
        <v>2</v>
      </c>
      <c r="N27" s="31">
        <f>VLOOKUP(1,AD26:AN29,5,FALSE)</f>
        <v>0</v>
      </c>
      <c r="O27" s="31" t="str">
        <f>VLOOKUP(1,AD26:AN29,6,FALSE) &amp; " - " &amp; VLOOKUP(1,AD26:AN29,7,FALSE)</f>
        <v>3 - 2</v>
      </c>
      <c r="P27" s="32">
        <f>L27*3+M27</f>
        <v>5</v>
      </c>
      <c r="R27" s="123">
        <f>DATE(2026,6,17)+TIME(12,0,0)+gmt_delta</f>
        <v>46190.958333333336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1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2</v>
      </c>
      <c r="AH27" s="123">
        <f>COUNTIF($S$7:$T$78,"=" &amp; AE27 &amp; "_lose")</f>
        <v>0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2</v>
      </c>
      <c r="AL27" s="123">
        <f>AI27-AJ27</f>
        <v>1</v>
      </c>
      <c r="AM27" s="123">
        <f>AL27-AL30</f>
        <v>4</v>
      </c>
      <c r="AN27" s="123">
        <f>AF27*3+AG27</f>
        <v>5</v>
      </c>
      <c r="AO27" s="123">
        <f>AN27/AN30*10+BA27</f>
        <v>9.3186991869918714</v>
      </c>
      <c r="AP27" s="123">
        <f>AO27*10000000+BI27*100+AM27/AM30*10+AI27/AI30*1++IF(AQ27=0,ROW(),AQ27)/2000000</f>
        <v>93187000.620670468</v>
      </c>
      <c r="AQ27" s="126">
        <f>VLOOKUP(AE27,db_fifarank,2,FALSE)</f>
        <v>1503.5</v>
      </c>
      <c r="AR27" s="125">
        <f>AP27/AP30</f>
        <v>0.99999998926888967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2</v>
      </c>
      <c r="AV27" s="126" cm="1">
        <f t="array" ref="AV27">SUMPRODUCT(($E$7:$E$78=AE27)*($U$7:$U$78)*($F$7:$F$78))+SUMPRODUCT(($H$7:$H$78=AE27)*($U$7:$U$78)*($G$7:$G$78))</f>
        <v>2</v>
      </c>
      <c r="AW27" s="126" cm="1">
        <f t="array" ref="AW27">SUMPRODUCT(($E$7:$E$78=AE27)*($U$7:$U$78)*($G$7:$G$78))+SUMPRODUCT(($H$7:$H$78=AE27)*($U$7:$U$78)*($F$7:$F$78))</f>
        <v>2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67.333333333333329</v>
      </c>
      <c r="BA27" s="126">
        <f>AZ27/AZ30</f>
        <v>0.98536585365853657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0</v>
      </c>
      <c r="BN27" s="64">
        <v>1</v>
      </c>
      <c r="BO27" s="27">
        <v>4</v>
      </c>
      <c r="BP27" s="113">
        <f>IF(BP26="","",BM27*1000+BN27*10+BO27)</f>
        <v>14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0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3 - 2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4</v>
      </c>
      <c r="AL28" s="123">
        <f>AI28-AJ28</f>
        <v>-3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0.25079033499999998</v>
      </c>
      <c r="AQ28" s="126">
        <f>VLOOKUP(AE28,db_fifarank,2,FALSE)</f>
        <v>1580.67</v>
      </c>
      <c r="AR28" s="125">
        <f>AP28/AP30</f>
        <v>2.6912587661192695E-9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1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2</v>
      </c>
      <c r="N29" s="23">
        <f>VLOOKUP(3,AD26:AN29,5,FALSE)</f>
        <v>0</v>
      </c>
      <c r="O29" s="23" t="str">
        <f>VLOOKUP(3,AD26:AN29,6,FALSE) &amp; " - " &amp; VLOOKUP(3,AD26:AN29,7,FALSE)</f>
        <v>2 - 1</v>
      </c>
      <c r="P29" s="34">
        <f>L29*3+M29</f>
        <v>5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2</v>
      </c>
      <c r="AL29" s="123">
        <f>AI29-AJ29</f>
        <v>1</v>
      </c>
      <c r="AM29" s="123">
        <f>AL29-AL30</f>
        <v>4</v>
      </c>
      <c r="AN29" s="123">
        <f>AF29*3+AG29</f>
        <v>5</v>
      </c>
      <c r="AO29" s="123">
        <f>AN29/AN30*10+BA29</f>
        <v>9.3138211382113827</v>
      </c>
      <c r="AP29" s="123">
        <f>AO29*10000000+BI29*100+AM29/AM30*10+AI29/AI30*1++IF(AQ29=0,ROW(),AQ29)/2000000</f>
        <v>93138318.172129035</v>
      </c>
      <c r="AQ29" s="126">
        <f>VLOOKUP(AE29,db_fifarank,2,FALSE)</f>
        <v>1599.04</v>
      </c>
      <c r="AR29" s="125">
        <f>AP29/AP30</f>
        <v>0.99947757254021752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2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66.999999999999986</v>
      </c>
      <c r="BA29" s="126">
        <f>AZ29/AZ30</f>
        <v>0.98048780487804865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</v>
      </c>
      <c r="BI29" s="126">
        <f>BH29/BH30</f>
        <v>0.98039215686274506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1 - 4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3</v>
      </c>
      <c r="AH30" s="123">
        <f t="shared" si="15"/>
        <v>4</v>
      </c>
      <c r="AI30" s="123">
        <f>MAX(AI26:AI29)+1</f>
        <v>4</v>
      </c>
      <c r="AL30" s="123">
        <f>MIN(AL26:AL29)</f>
        <v>-3</v>
      </c>
      <c r="AM30" s="123">
        <f>MAX(AM26:AM29)+1</f>
        <v>5</v>
      </c>
      <c r="AN30" s="123">
        <f>MAX(AN26:AN29)+1</f>
        <v>6</v>
      </c>
      <c r="AO30" s="123">
        <f>MAX(AO26:AO29)+1</f>
        <v>10.318699186991871</v>
      </c>
      <c r="AP30" s="123">
        <f>MAX(AP26:AP29)+1</f>
        <v>93187001.620670468</v>
      </c>
      <c r="AT30" s="126">
        <f>MAX(AT26:AT29)-MIN(AT26:AT29)+1</f>
        <v>1</v>
      </c>
      <c r="AU30" s="126">
        <f>MAX(AU26:AU29)-MIN(AU26:AU29)+1</f>
        <v>3</v>
      </c>
      <c r="AV30" s="126">
        <f>MAX(AV26:AV29)-MIN(AV26:AV29)+1</f>
        <v>3</v>
      </c>
      <c r="AW30" s="126">
        <f>MAX(AW26:AW29)-MIN(AW26:AW29)+1</f>
        <v>3</v>
      </c>
      <c r="AY30" s="126">
        <f>MAX(AY26:AY29)-MIN(AY26:AY29)+1</f>
        <v>1</v>
      </c>
      <c r="AZ30" s="126">
        <f>MAX(AZ26:AZ29)+1</f>
        <v>68.333333333333329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51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12</v>
      </c>
      <c r="AJ32" s="123">
        <f>SUMIF($E$7:$E$78,$AE32,$G$7:$G$78) + SUMIF($H$7:$H$78,$AE32,$F$7:$F$78)</f>
        <v>1</v>
      </c>
      <c r="AL32" s="123">
        <f>AI32-AJ32</f>
        <v>11</v>
      </c>
      <c r="AM32" s="123">
        <f>AL32-AL36</f>
        <v>19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90000010.423942119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12 - 1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1</v>
      </c>
      <c r="AO33" s="123">
        <f>AN33/AN36*10+BA33</f>
        <v>1.9803921568627452</v>
      </c>
      <c r="AP33" s="123">
        <f>AO33*10000000+BI33*100+AM33/AM36*10+AI33/AI36*1++IF(AQ33=0,ROW(),AQ33)/2000000</f>
        <v>19804019.608490463</v>
      </c>
      <c r="AQ33" s="126">
        <f>VLOOKUP(AE33,db_fifarank,2,FALSE)</f>
        <v>1294.6500000000001</v>
      </c>
      <c r="AR33" s="125">
        <f>AP33/AP36</f>
        <v>0.22004463438570329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</v>
      </c>
      <c r="BA33" s="126">
        <f>AZ33/AZ36</f>
        <v>0.98039215686274506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</v>
      </c>
      <c r="BI33" s="126">
        <f>BH33/BH36</f>
        <v>0.98039215686274506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2</v>
      </c>
      <c r="CB33" s="64"/>
      <c r="CC33" s="27"/>
      <c r="CD33" s="112">
        <f>IF(CD32="","",CA33*1000+CB33*10+CC33)</f>
        <v>2000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6 - 2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1</v>
      </c>
      <c r="V34" s="123">
        <f t="shared" si="3"/>
        <v>1</v>
      </c>
      <c r="W34" s="123">
        <f t="shared" si="4"/>
        <v>1</v>
      </c>
      <c r="X34" s="123">
        <f t="shared" si="9"/>
        <v>1</v>
      </c>
      <c r="Y34" s="123">
        <f t="shared" si="10"/>
        <v>1</v>
      </c>
      <c r="Z34" s="123">
        <f t="shared" si="11"/>
        <v>1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0</v>
      </c>
      <c r="AJ34" s="123">
        <f>SUMIF($E$7:$E$78,$AE34,$G$7:$G$78) + SUMIF($H$7:$H$78,$AE34,$F$7:$F$78)</f>
        <v>7</v>
      </c>
      <c r="AL34" s="123">
        <f>AI34-AJ34</f>
        <v>-7</v>
      </c>
      <c r="AM34" s="123">
        <f>AL34-AL36</f>
        <v>1</v>
      </c>
      <c r="AN34" s="123">
        <f>AF34*3+AG34</f>
        <v>1</v>
      </c>
      <c r="AO34" s="123">
        <f>AN34/AN36*10+BA34</f>
        <v>1.9803921568627452</v>
      </c>
      <c r="AP34" s="123">
        <f>AO34*10000000+BI34*100+AM34/AM36*10+AI34/AI36*1++IF(AQ34=0,ROW(),AQ34)/2000000</f>
        <v>19804020.108609628</v>
      </c>
      <c r="AQ34" s="126">
        <f>VLOOKUP(AE34,db_fifarank,2,FALSE)</f>
        <v>1532.98</v>
      </c>
      <c r="AR34" s="125">
        <f>AP34/AP36</f>
        <v>0.22004463994258219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</v>
      </c>
      <c r="BA34" s="126">
        <f>AZ34/AZ36</f>
        <v>0.98039215686274506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</v>
      </c>
      <c r="BI34" s="126">
        <f>BH34/BH36</f>
        <v>0.98039215686274506</v>
      </c>
      <c r="BK34" s="141">
        <v>81</v>
      </c>
      <c r="BL34" s="24" t="str">
        <f>AS26</f>
        <v>Paraguay</v>
      </c>
      <c r="BM34" s="61">
        <v>1</v>
      </c>
      <c r="BN34" s="63">
        <v>1</v>
      </c>
      <c r="BO34" s="25">
        <v>3</v>
      </c>
      <c r="BP34" s="112">
        <f>IF(OR(BM34="",BM35="",AND(BN34="",BN35&lt;&gt;""),AND(BN35="",BN34&lt;&gt;""),AND(BO34="",BO35&lt;&gt;""),AND(BO35="",BO34&lt;&gt;"")),"",BM34*1000+BN34*10+BO34)</f>
        <v>1013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0 - 7</v>
      </c>
      <c r="P35" s="34">
        <f>L35*3+M35</f>
        <v>1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2</v>
      </c>
      <c r="AL35" s="123">
        <f>AI35-AJ35</f>
        <v>4</v>
      </c>
      <c r="AM35" s="123">
        <f>AL35-AL36</f>
        <v>12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60000006.462335855</v>
      </c>
      <c r="AQ35" s="126">
        <f>VLOOKUP(AE35,db_fifarank,2,FALSE)</f>
        <v>1594.78</v>
      </c>
      <c r="AR35" s="125">
        <f>AP35/AP36</f>
        <v>0.66666665384860657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Bosnia and Herzegovina</v>
      </c>
      <c r="BM35" s="62">
        <v>1</v>
      </c>
      <c r="BN35" s="64">
        <v>1</v>
      </c>
      <c r="BO35" s="27">
        <v>2</v>
      </c>
      <c r="BP35" s="113">
        <f>IF(BP34="","",BM35*1000+BN35*10+BO35)</f>
        <v>1012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0 - 8</v>
      </c>
      <c r="P36" s="37">
        <f>L36*3+M36</f>
        <v>1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3</v>
      </c>
      <c r="AI36" s="123">
        <f>MAX(AI32:AI35)+1</f>
        <v>13</v>
      </c>
      <c r="AL36" s="123">
        <f>MIN(AL32:AL35)</f>
        <v>-8</v>
      </c>
      <c r="AM36" s="123">
        <f>MAX(AM32:AM35)+1</f>
        <v>20</v>
      </c>
      <c r="AN36" s="123">
        <f>MAX(AN32:AN35)+1</f>
        <v>10</v>
      </c>
      <c r="AO36" s="123">
        <f>MAX(AO32:AO35)+1</f>
        <v>10</v>
      </c>
      <c r="AP36" s="123">
        <f>MAX(AP32:AP35)+1</f>
        <v>90000011.423942119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51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51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Paraguay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0</v>
      </c>
      <c r="CP37" s="63">
        <v>0</v>
      </c>
      <c r="CQ37" s="25">
        <v>4</v>
      </c>
      <c r="CR37" s="111">
        <f>IF(OR(CO37="",CO38="",AND(CP37="",CP38&lt;&gt;""),AND(CP38="",CP37&lt;&gt;""),AND(CQ37="",CQ38&lt;&gt;""),AND(CQ38="",CQ37&lt;&gt;"")),"",CO37*1000+CP37*10+CQ37)</f>
        <v>4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1</v>
      </c>
      <c r="V38" s="123">
        <f t="shared" si="3"/>
        <v>1</v>
      </c>
      <c r="W38" s="123">
        <f t="shared" si="4"/>
        <v>1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3</v>
      </c>
      <c r="AL38" s="123">
        <f>AI38-AJ38</f>
        <v>4</v>
      </c>
      <c r="AM38" s="123">
        <f>AL38-AL42</f>
        <v>7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90000009.62587893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England</v>
      </c>
      <c r="CO38" s="62">
        <v>0</v>
      </c>
      <c r="CP38" s="64">
        <v>0</v>
      </c>
      <c r="CQ38" s="27">
        <v>3</v>
      </c>
      <c r="CR38" s="111">
        <f>IF(CR37="","",CO38*1000+CP38*10+CQ38)</f>
        <v>3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4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7 - 3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4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60000005.500830218</v>
      </c>
      <c r="AQ39" s="126">
        <f>VLOOKUP(AE39,db_fifarank,2,FALSE)</f>
        <v>1660.43</v>
      </c>
      <c r="AR39" s="125">
        <f>AP39/AP42</f>
        <v>0.66666664907679019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5</v>
      </c>
      <c r="AL40" s="123">
        <f>AI40-AJ40</f>
        <v>-3</v>
      </c>
      <c r="AM40" s="123">
        <f>AL40-AL42</f>
        <v>0</v>
      </c>
      <c r="AN40" s="123">
        <f>AF40*3+AG40</f>
        <v>1</v>
      </c>
      <c r="AO40" s="123">
        <f>AN40/AN42*10+BA40</f>
        <v>1.9805825242718447</v>
      </c>
      <c r="AP40" s="123">
        <f>AO40*10000000+BI40*100+AM40/AM42*10+AI40/AI42*1++IF(AQ40=0,ROW(),AQ40)/2000000</f>
        <v>19805923.55172826</v>
      </c>
      <c r="AQ40" s="126">
        <f>VLOOKUP(AE40,db_fifarank,2,FALSE)</f>
        <v>1514.77</v>
      </c>
      <c r="AR40" s="125">
        <f>AP40/AP42</f>
        <v>0.22006579125928671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3 - 5</v>
      </c>
      <c r="P41" s="34">
        <f>L41*3+M41</f>
        <v>1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5</v>
      </c>
      <c r="AL41" s="123">
        <f>AI41-AJ41</f>
        <v>-2</v>
      </c>
      <c r="AM41" s="123">
        <f>AL41-AL42</f>
        <v>1</v>
      </c>
      <c r="AN41" s="123">
        <f>AF41*3+AG41</f>
        <v>1</v>
      </c>
      <c r="AO41" s="123">
        <f>AN41/AN42*10+BA41</f>
        <v>1.9805825242718447</v>
      </c>
      <c r="AP41" s="123">
        <f>AO41*10000000+BI41*100+AM41/AM42*10+AI41/AI42*1++IF(AQ41=0,ROW(),AQ41)/2000000</f>
        <v>19805924.926712401</v>
      </c>
      <c r="AQ41" s="126">
        <f>VLOOKUP(AE41,db_fifarank,2,FALSE)</f>
        <v>1483.05</v>
      </c>
      <c r="AR41" s="125">
        <f>AP41/AP42</f>
        <v>0.22006580653688648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2 - 5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8</v>
      </c>
      <c r="AL42" s="123">
        <f>MIN(AL38:AL41)</f>
        <v>-3</v>
      </c>
      <c r="AM42" s="123">
        <f>MAX(AM38:AM41)+1</f>
        <v>8</v>
      </c>
      <c r="AN42" s="123">
        <f>MAX(AN38:AN41)+1</f>
        <v>10</v>
      </c>
      <c r="AO42" s="123">
        <f>MAX(AO38:AO41)+1</f>
        <v>10</v>
      </c>
      <c r="AP42" s="123">
        <f>MAX(AP38:AP41)+1</f>
        <v>90000010.62587893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41">
        <v>76</v>
      </c>
      <c r="BL42" s="24" t="str">
        <f>AS20</f>
        <v>Morocco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2</v>
      </c>
      <c r="BN43" s="64"/>
      <c r="BO43" s="27"/>
      <c r="BP43" s="113">
        <f>IF(BP42="","",BM43*1000+BN43*10+BO43)</f>
        <v>2000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5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1</v>
      </c>
      <c r="AL44" s="123">
        <f>AI44-AJ44</f>
        <v>6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90000009.875867352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Morocco</v>
      </c>
      <c r="BT44" s="61">
        <v>2</v>
      </c>
      <c r="BU44" s="63">
        <v>2</v>
      </c>
      <c r="BV44" s="25">
        <v>6</v>
      </c>
      <c r="BW44" s="112">
        <f>IF(OR(BT44="",BT45="",AND(BU44="",BU45&lt;&gt;""),AND(BU45="",BU44&lt;&gt;""),AND(BV44="",BV45&lt;&gt;""),AND(BV45="",BV44&lt;&gt;"")),"",BT44*1000+BU44*10+BV44)</f>
        <v>2026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3</v>
      </c>
      <c r="AL45" s="123">
        <f>AI45-AJ45</f>
        <v>0</v>
      </c>
      <c r="AM45" s="123">
        <f>AL45-AL48</f>
        <v>3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60000003.375781618</v>
      </c>
      <c r="AQ45" s="126">
        <f>VLOOKUP(AE45,db_fifarank,2,FALSE)</f>
        <v>1563.24</v>
      </c>
      <c r="AR45" s="125">
        <f>AP45/AP48</f>
        <v>0.66666662361337614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Senegal</v>
      </c>
      <c r="BT45" s="62">
        <v>2</v>
      </c>
      <c r="BU45" s="64">
        <v>2</v>
      </c>
      <c r="BV45" s="27">
        <v>4</v>
      </c>
      <c r="BW45" s="113">
        <f>IF(BW44="","",BT45*1000+BU45*10+BV45)</f>
        <v>2024</v>
      </c>
      <c r="CK45" s="114"/>
      <c r="CM45" s="147"/>
      <c r="CN45" s="148"/>
      <c r="CO45" s="148"/>
      <c r="CP45" s="148"/>
      <c r="CQ45" s="149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3 - 3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3</v>
      </c>
      <c r="AL46" s="123">
        <f>AI46-AJ46</f>
        <v>-3</v>
      </c>
      <c r="AM46" s="123">
        <f>AL46-AL48</f>
        <v>0</v>
      </c>
      <c r="AN46" s="123">
        <f>AF46*3+AG46</f>
        <v>1</v>
      </c>
      <c r="AO46" s="123">
        <f>AN46/AN48*10+BA46</f>
        <v>1.9803921568627452</v>
      </c>
      <c r="AP46" s="123">
        <f>AO46*10000000+BI46*100+AM46/AM48*10+AI46/AI48*1++IF(AQ46=0,ROW(),AQ46)/2000000</f>
        <v>19804019.608650789</v>
      </c>
      <c r="AQ46" s="126">
        <f>VLOOKUP(AE46,db_fifarank,2,FALSE)</f>
        <v>1615.3</v>
      </c>
      <c r="AR46" s="125">
        <f>AP46/AP48</f>
        <v>0.22004463572749466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</v>
      </c>
      <c r="BA46" s="126">
        <f>AZ46/AZ48</f>
        <v>0.98039215686274506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4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0 - 3</v>
      </c>
      <c r="P47" s="34">
        <f>L47*3+M47</f>
        <v>1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3</v>
      </c>
      <c r="AL47" s="123">
        <f>AI47-AJ47</f>
        <v>-3</v>
      </c>
      <c r="AM47" s="123">
        <f>AL47-AL48</f>
        <v>0</v>
      </c>
      <c r="AN47" s="123">
        <f>AF47*3+AG47</f>
        <v>1</v>
      </c>
      <c r="AO47" s="123">
        <f>AN47/AN48*10+BA47</f>
        <v>1.9803921568627452</v>
      </c>
      <c r="AP47" s="123">
        <f>AO47*10000000+BI47*100+AM47/AM48*10+AI47/AI48*1++IF(AQ47=0,ROW(),AQ47)/2000000</f>
        <v>19804019.608483922</v>
      </c>
      <c r="AQ47" s="126">
        <f>VLOOKUP(AE47,db_fifarank,2,FALSE)</f>
        <v>1281.57</v>
      </c>
      <c r="AR47" s="125">
        <f>AP47/AP48</f>
        <v>0.22004463572564059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</v>
      </c>
      <c r="BA47" s="126">
        <f>AZ47/AZ48</f>
        <v>0.98039215686274506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</v>
      </c>
      <c r="BI47" s="126">
        <f>BH47/BH48</f>
        <v>0.98039215686274506</v>
      </c>
      <c r="BK47" s="142"/>
      <c r="BL47" s="26" t="str">
        <f>AS57</f>
        <v>Senegal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0 - 3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8</v>
      </c>
      <c r="AL48" s="123">
        <f>MIN(AL44:AL47)</f>
        <v>-3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90000010.875867352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Morocco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41">
        <v>103</v>
      </c>
      <c r="CN48" s="24" t="str">
        <f>IF(CK23&gt;CK24,CG24,IF(CK23&lt;CK24,CG23,""))</f>
        <v>Germany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1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1</v>
      </c>
      <c r="V49" s="123">
        <f t="shared" si="21"/>
        <v>1</v>
      </c>
      <c r="W49" s="123">
        <f t="shared" si="22"/>
        <v>1</v>
      </c>
      <c r="X49" s="123">
        <f t="shared" si="9"/>
        <v>1</v>
      </c>
      <c r="Y49" s="123">
        <f t="shared" si="10"/>
        <v>1</v>
      </c>
      <c r="Z49" s="123">
        <f t="shared" si="11"/>
        <v>1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Norway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0</v>
      </c>
      <c r="W50" s="123">
        <f t="shared" si="22"/>
        <v>0</v>
      </c>
      <c r="X50" s="123">
        <f t="shared" si="9"/>
        <v>1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14</v>
      </c>
      <c r="AJ50" s="123">
        <f>SUMIF($E$7:$E$78,$AE50,$G$7:$G$78) + SUMIF($H$7:$H$78,$AE50,$F$7:$F$78)</f>
        <v>2</v>
      </c>
      <c r="AL50" s="123">
        <f>AI50-AJ50</f>
        <v>12</v>
      </c>
      <c r="AM50" s="123">
        <f>AL50-AL54</f>
        <v>20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90000010.458081067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3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3000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14 - 2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8</v>
      </c>
      <c r="AL51" s="123">
        <f>AI51-AJ51</f>
        <v>-8</v>
      </c>
      <c r="AM51" s="123">
        <f>AL51-AL54</f>
        <v>0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19804019.608526204</v>
      </c>
      <c r="AQ51" s="126">
        <f>VLOOKUP(AE51,db_fifarank,2,FALSE)</f>
        <v>1366.13</v>
      </c>
      <c r="AR51" s="125">
        <f>AP51/AP54</f>
        <v>0.22004463430263274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42"/>
      <c r="BL51" s="26" t="str">
        <f>IF(group_round_completed,VLOOKUP('3rd places'!D3,AK80:AS91,9,FALSE),"3rd Group C/E/F/H/I")</f>
        <v>Scotland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7 - 3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8</v>
      </c>
      <c r="AL52" s="123">
        <f>AI52-AJ52</f>
        <v>-8</v>
      </c>
      <c r="AM52" s="123">
        <f>AL52-AL54</f>
        <v>0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19804019.608553853</v>
      </c>
      <c r="AQ52" s="126">
        <f>VLOOKUP(AE52,db_fifarank,2,FALSE)</f>
        <v>1421.43</v>
      </c>
      <c r="AR52" s="125">
        <f>AP52/AP54</f>
        <v>0.22004463430293994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0 - 8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7</v>
      </c>
      <c r="AJ53" s="123">
        <f>SUMIF($E$7:$E$78,$AE53,$G$7:$G$78) + SUMIF($H$7:$H$78,$AE53,$F$7:$F$78)</f>
        <v>3</v>
      </c>
      <c r="AL53" s="123">
        <f>AI53-AJ53</f>
        <v>4</v>
      </c>
      <c r="AM53" s="123">
        <f>AL53-AL54</f>
        <v>12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60000006.181788921</v>
      </c>
      <c r="AQ53" s="126">
        <f>VLOOKUP(AE53,db_fifarank,2,FALSE)</f>
        <v>1673.07</v>
      </c>
      <c r="AR53" s="125">
        <f>AP53/AP54</f>
        <v>0.66666665047853768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0 - 8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15</v>
      </c>
      <c r="AL54" s="123">
        <f>MIN(AL50:AL53)</f>
        <v>-8</v>
      </c>
      <c r="AM54" s="123">
        <f>MAX(AM50:AM53)+1</f>
        <v>21</v>
      </c>
      <c r="AN54" s="123">
        <f>MAX(AN50:AN53)+1</f>
        <v>10</v>
      </c>
      <c r="AO54" s="123">
        <f>MAX(AO50:AO53)+1</f>
        <v>10</v>
      </c>
      <c r="AP54" s="123">
        <f>MAX(AP50:AP53)+1</f>
        <v>90000011.458081067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41">
        <v>80</v>
      </c>
      <c r="BL54" s="24" t="str">
        <f>AS74</f>
        <v>England</v>
      </c>
      <c r="BM54" s="61">
        <v>4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4000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4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3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3000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4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5</v>
      </c>
      <c r="AJ56" s="123">
        <f>SUMIF($E$7:$E$78,$AE56,$G$7:$G$78) + SUMIF($H$7:$H$78,$AE56,$F$7:$F$78)</f>
        <v>2</v>
      </c>
      <c r="AL56" s="123">
        <f>AI56-AJ56</f>
        <v>3</v>
      </c>
      <c r="AM56" s="123">
        <f>AL56-AL60</f>
        <v>12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87500009.856707886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Norway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5 - 2</v>
      </c>
      <c r="P57" s="32">
        <f>L57*3+M57</f>
        <v>7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2</v>
      </c>
      <c r="AH57" s="123">
        <f>COUNTIF($S$7:$T$78,"=" &amp; AE57 &amp; "_lose")</f>
        <v>0</v>
      </c>
      <c r="AI57" s="123">
        <f>SUMIF($E$7:$E$78,$AE57,$F$7:$F$78) + SUMIF($H$7:$H$78,$AE57,$G$7:$G$78)</f>
        <v>7</v>
      </c>
      <c r="AJ57" s="123">
        <f>SUMIF($E$7:$E$78,$AE57,$G$7:$G$78) + SUMIF($H$7:$H$78,$AE57,$F$7:$F$78)</f>
        <v>4</v>
      </c>
      <c r="AL57" s="123">
        <f>AI57-AJ57</f>
        <v>3</v>
      </c>
      <c r="AM57" s="123">
        <f>AL57-AL60</f>
        <v>12</v>
      </c>
      <c r="AN57" s="123">
        <f>AF57*3+AG57</f>
        <v>5</v>
      </c>
      <c r="AO57" s="123">
        <f>AN57/AN60*10+BA57</f>
        <v>6.25</v>
      </c>
      <c r="AP57" s="123">
        <f>AO57*10000000+BI57*100+AM57/AM60*10+AI57/AI60*1++IF(AQ57=0,ROW(),AQ57)/2000000</f>
        <v>62500010.106613725</v>
      </c>
      <c r="AQ57" s="126">
        <f>VLOOKUP(AE57,db_fifarank,2,FALSE)</f>
        <v>1688.99</v>
      </c>
      <c r="AR57" s="125">
        <f>AP57/AP60</f>
        <v>0.71428574116368104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7 - 4</v>
      </c>
      <c r="P58" s="34">
        <f>L58*3+M58</f>
        <v>5</v>
      </c>
      <c r="R58" s="123">
        <f>DATE(2026,6,24)+TIME(8,0,0)+gmt_delta</f>
        <v>46197.791666666672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0</v>
      </c>
      <c r="W58" s="123">
        <f t="shared" si="22"/>
        <v>0</v>
      </c>
      <c r="X58" s="123">
        <f t="shared" si="9"/>
        <v>1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10</v>
      </c>
      <c r="AL58" s="123">
        <f>AI58-AJ58</f>
        <v>-9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0.12572357000000001</v>
      </c>
      <c r="AQ58" s="126">
        <f>VLOOKUP(AE58,db_fifarank,2,FALSE)</f>
        <v>1447.14</v>
      </c>
      <c r="AR58" s="125">
        <f>AP58/AP60</f>
        <v>1.4368406217216125E-9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>
        <v>3</v>
      </c>
      <c r="BO58" s="25"/>
      <c r="BP58" s="112">
        <f>IF(OR(BM58="",BM59="",AND(BN58="",BN59&lt;&gt;""),AND(BN59="",BN58&lt;&gt;""),AND(BO58="",BO59&lt;&gt;""),AND(BO59="",BO58&lt;&gt;"")),"",BM58*1000+BN58*10+BO58)</f>
        <v>2030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7 - 4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7</v>
      </c>
      <c r="AJ59" s="123">
        <f>SUMIF($E$7:$E$78,$AE59,$G$7:$G$78) + SUMIF($H$7:$H$78,$AE59,$F$7:$F$78)</f>
        <v>4</v>
      </c>
      <c r="AL59" s="123">
        <f>AI59-AJ59</f>
        <v>3</v>
      </c>
      <c r="AM59" s="123">
        <f>AL59-AL60</f>
        <v>12</v>
      </c>
      <c r="AN59" s="123">
        <f>AF59*3+AG59</f>
        <v>4</v>
      </c>
      <c r="AO59" s="123">
        <f>AN59/AN60*10+BA59</f>
        <v>5</v>
      </c>
      <c r="AP59" s="123">
        <f>AO59*10000000+BI59*100+AM59/AM60*10+AI59/AI60*1++IF(AQ59=0,ROW(),AQ59)/2000000</f>
        <v>50000010.106544703</v>
      </c>
      <c r="AQ59" s="126">
        <f>VLOOKUP(AE59,db_fifarank,2,FALSE)</f>
        <v>1550.94</v>
      </c>
      <c r="AR59" s="125">
        <f>AP59/AP60</f>
        <v>0.57142861603098449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2</v>
      </c>
      <c r="BN59" s="64">
        <v>2</v>
      </c>
      <c r="BO59" s="27"/>
      <c r="BP59" s="113">
        <f>IF(BP58="","",BM59*1000+BN59*10+BO59)</f>
        <v>2020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1 - 10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4</v>
      </c>
      <c r="AI60" s="123">
        <f>MAX(AI56:AI59)+1</f>
        <v>8</v>
      </c>
      <c r="AL60" s="123">
        <f>MIN(AL56:AL59)</f>
        <v>-9</v>
      </c>
      <c r="AM60" s="123">
        <f>MAX(AM56:AM59)+1</f>
        <v>13</v>
      </c>
      <c r="AN60" s="123">
        <f>MAX(AN56:AN59)+1</f>
        <v>8</v>
      </c>
      <c r="AO60" s="123">
        <f>MAX(AO56:AO59)+1</f>
        <v>9.75</v>
      </c>
      <c r="AP60" s="123">
        <f>MAX(AP56:AP59)+1</f>
        <v>87500010.856707886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0</v>
      </c>
      <c r="W61" s="123">
        <f t="shared" si="22"/>
        <v>0</v>
      </c>
      <c r="X61" s="123">
        <f t="shared" si="9"/>
        <v>1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1</v>
      </c>
      <c r="AL62" s="123">
        <f>AI62-AJ62</f>
        <v>4</v>
      </c>
      <c r="AM62" s="123">
        <f>AL62-AL66</f>
        <v>8</v>
      </c>
      <c r="AN62" s="123">
        <f>AF62*3+AG62</f>
        <v>7</v>
      </c>
      <c r="AO62" s="123">
        <f>AN62/AN66*10+BA62</f>
        <v>9.7401477832512313</v>
      </c>
      <c r="AP62" s="123">
        <f>AO62*10000000+BI62*100+AM62/AM66*10+AI62/AI66*1++IF(AQ62=0,ROW(),AQ62)/2000000</f>
        <v>97401586.570450291</v>
      </c>
      <c r="AQ62" s="126">
        <f>VLOOKUP(AE62,db_fifarank,2,FALSE)</f>
        <v>1874.82</v>
      </c>
      <c r="AR62" s="125">
        <f>AP62/AP66</f>
        <v>0.9999999897332269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1</v>
      </c>
      <c r="AV62" s="126" cm="1">
        <f t="array" ref="AV62">SUMPRODUCT(($E$7:$E$78=AE62)*($U$7:$U$78)*($F$7:$F$78))+SUMPRODUCT(($H$7:$H$78=AE62)*($U$7:$U$78)*($G$7:$G$78))</f>
        <v>1</v>
      </c>
      <c r="AW62" s="126" cm="1">
        <f t="array" ref="AW62">SUMPRODUCT(($E$7:$E$78=AE62)*($U$7:$U$78)*($G$7:$G$78))+SUMPRODUCT(($H$7:$H$78=AE62)*($U$7:$U$78)*($F$7:$F$78))</f>
        <v>1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100.5</v>
      </c>
      <c r="BA62" s="126">
        <f>AZ62/AZ66</f>
        <v>0.99014778325123154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1</v>
      </c>
      <c r="BD62" s="126" cm="1">
        <f t="array" ref="BD62">SUMPRODUCT(($E$7:$E$78=AE62)*($X$7:$X$78)*($F$7:$F$78))+SUMPRODUCT(($H$7:$H$78=AE62)*($X$7:$X$78)*($G$7:$G$78))</f>
        <v>1</v>
      </c>
      <c r="BE62" s="126" cm="1">
        <f t="array" ref="BE62">SUMPRODUCT(($E$7:$E$78=AE62)*($X$7:$X$78)*($G$7:$G$78))+SUMPRODUCT(($H$7:$H$78=AE62)*($X$7:$X$78)*($F$7:$F$78))</f>
        <v>1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100.5</v>
      </c>
      <c r="BI62" s="126">
        <f>BH62/BH66</f>
        <v>0.99014778325123154</v>
      </c>
      <c r="BK62" s="14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5 - 1</v>
      </c>
      <c r="P63" s="32">
        <f>L63*3+M63</f>
        <v>7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0</v>
      </c>
      <c r="AJ63" s="123">
        <f>SUMIF($E$7:$E$78,$AE63,$G$7:$G$78) + SUMIF($H$7:$H$78,$AE63,$F$7:$F$78)</f>
        <v>4</v>
      </c>
      <c r="AL63" s="123">
        <f>AI63-AJ63</f>
        <v>-4</v>
      </c>
      <c r="AM63" s="123">
        <f>AL63-AL66</f>
        <v>0</v>
      </c>
      <c r="AN63" s="123">
        <f>AF63*3+AG63</f>
        <v>1</v>
      </c>
      <c r="AO63" s="123">
        <f>AN63/AN66*10+BA63</f>
        <v>2.2352216748768474</v>
      </c>
      <c r="AP63" s="123">
        <f>AO63*10000000+BI63*100+AM63/AM66*10+AI63/AI66*1++IF(AQ63=0,ROW(),AQ63)/2000000</f>
        <v>22352315.271718092</v>
      </c>
      <c r="AQ63" s="126">
        <f>VLOOKUP(AE63,db_fifarank,2,FALSE)</f>
        <v>1564.26</v>
      </c>
      <c r="AR63" s="125">
        <f>AP63/AP66</f>
        <v>0.22948614934587927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100</v>
      </c>
      <c r="BA63" s="126">
        <f>AZ63/AZ66</f>
        <v>0.98522167487684731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100</v>
      </c>
      <c r="BI63" s="126">
        <f>BH63/BH66</f>
        <v>0.98522167487684731</v>
      </c>
      <c r="BK63" s="14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1</v>
      </c>
      <c r="N64" s="23">
        <f>VLOOKUP(2,AD62:AN65,5,FALSE)</f>
        <v>0</v>
      </c>
      <c r="O64" s="23" t="str">
        <f>VLOOKUP(2,AD62:AN65,6,FALSE) &amp; " - " &amp; VLOOKUP(2,AD62:AN65,7,FALSE)</f>
        <v>5 - 1</v>
      </c>
      <c r="P64" s="34">
        <f>L64*3+M64</f>
        <v>7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1</v>
      </c>
      <c r="AH64" s="123">
        <f>COUNTIF($S$7:$T$78,"=" &amp; AE64 &amp; "_lose")</f>
        <v>0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1</v>
      </c>
      <c r="AL64" s="123">
        <f>AI64-AJ64</f>
        <v>4</v>
      </c>
      <c r="AM64" s="123">
        <f>AL64-AL66</f>
        <v>8</v>
      </c>
      <c r="AN64" s="123">
        <f>AF64*3+AG64</f>
        <v>7</v>
      </c>
      <c r="AO64" s="123">
        <f>AN64/AN66*10+BA64</f>
        <v>9.7401477832512313</v>
      </c>
      <c r="AP64" s="123">
        <f>AO64*10000000+BI64*100+AM64/AM66*10+AI64/AI66*1++IF(AQ64=0,ROW(),AQ64)/2000000</f>
        <v>97401586.570309594</v>
      </c>
      <c r="AQ64" s="126">
        <f>VLOOKUP(AE64,db_fifarank,2,FALSE)</f>
        <v>1593.45</v>
      </c>
      <c r="AR64" s="125">
        <f>AP64/AP66</f>
        <v>0.99999998973178239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100.5</v>
      </c>
      <c r="BA64" s="126">
        <f>AZ64/AZ66</f>
        <v>0.99014778325123154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100.5</v>
      </c>
      <c r="BI64" s="126">
        <f>BH64/BH66</f>
        <v>0.99014778325123154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0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0 - 4</v>
      </c>
      <c r="P65" s="34">
        <f>L65*3+M65</f>
        <v>1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0</v>
      </c>
      <c r="W65" s="123">
        <f t="shared" si="22"/>
        <v>0</v>
      </c>
      <c r="X65" s="123">
        <f t="shared" si="9"/>
        <v>1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4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2.2352216748768474</v>
      </c>
      <c r="AP65" s="123">
        <f>AO65*10000000+BI65*100+AM65/AM66*10+AI65/AI66*1++IF(AQ65=0,ROW(),AQ65)/2000000</f>
        <v>22352315.271631688</v>
      </c>
      <c r="AQ65" s="126">
        <f>VLOOKUP(AE65,db_fifarank,2,FALSE)</f>
        <v>1391.45</v>
      </c>
      <c r="AR65" s="125">
        <f>AP65/AP66</f>
        <v>0.22948614934499217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100</v>
      </c>
      <c r="BA65" s="126">
        <f>AZ65/AZ66</f>
        <v>0.98522167487684731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100</v>
      </c>
      <c r="BI65" s="126">
        <f>BH65/BH66</f>
        <v>0.98522167487684731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Norway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0 - 4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3</v>
      </c>
      <c r="AG66" s="123">
        <f t="shared" si="28"/>
        <v>1</v>
      </c>
      <c r="AH66" s="123">
        <f t="shared" si="28"/>
        <v>3</v>
      </c>
      <c r="AI66" s="123">
        <f>MAX(AI62:AI65)+1</f>
        <v>6</v>
      </c>
      <c r="AL66" s="123">
        <f>MIN(AL62:AL65)</f>
        <v>-4</v>
      </c>
      <c r="AM66" s="123">
        <f>MAX(AM62:AM65)+1</f>
        <v>9</v>
      </c>
      <c r="AN66" s="123">
        <f>MAX(AN62:AN65)+1</f>
        <v>8</v>
      </c>
      <c r="AO66" s="123">
        <f>MAX(AO62:AO65)+1</f>
        <v>10.740147783251231</v>
      </c>
      <c r="AP66" s="123">
        <f>MAX(AP62:AP65)+1</f>
        <v>97401587.570450291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101.5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101.5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Norway</v>
      </c>
      <c r="BM67" s="62">
        <v>3</v>
      </c>
      <c r="BN67" s="64"/>
      <c r="BO67" s="27"/>
      <c r="BP67" s="113">
        <f>IF(BP66="","",BM67*1000+BN67*10+BO67)</f>
        <v>3000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4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5</v>
      </c>
      <c r="AJ68" s="123">
        <f>SUMIF($E$7:$E$78,$AE68,$G$7:$G$78) + SUMIF($H$7:$H$78,$AE68,$F$7:$F$78)</f>
        <v>2</v>
      </c>
      <c r="AL68" s="123">
        <f>AI68-AJ68</f>
        <v>3</v>
      </c>
      <c r="AM68" s="123">
        <f>AL68-AL72</f>
        <v>6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90000009.405643806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Norway</v>
      </c>
      <c r="BT68" s="61">
        <v>3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3000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5 - 2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3</v>
      </c>
      <c r="AL69" s="123">
        <f>AI69-AJ69</f>
        <v>-2</v>
      </c>
      <c r="AM69" s="123">
        <f>AL69-AL72</f>
        <v>1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19804021.203820411</v>
      </c>
      <c r="AQ69" s="126">
        <f>VLOOKUP(AE69,db_fifarank,2,FALSE)</f>
        <v>1478.35</v>
      </c>
      <c r="AR69" s="125">
        <f>AP69/AP72</f>
        <v>0.22004465460126793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4</v>
      </c>
      <c r="AL70" s="123">
        <f>AI70-AJ70</f>
        <v>-3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19804019.775242478</v>
      </c>
      <c r="AQ70" s="126">
        <f>VLOOKUP(AE70,db_fifarank,2,FALSE)</f>
        <v>1465.34</v>
      </c>
      <c r="AR70" s="125">
        <f>AP70/AP72</f>
        <v>0.22004463872818161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4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1 - 3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5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60000007.97703702</v>
      </c>
      <c r="AQ71" s="126">
        <f>VLOOKUP(AE71,db_fifarank,2,FALSE)</f>
        <v>1693.09</v>
      </c>
      <c r="AR71" s="125">
        <f>AP71/AP72</f>
        <v>0.666666678221567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Panama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2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1 - 4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6</v>
      </c>
      <c r="AL72" s="123">
        <f>MIN(AL68:AL71)</f>
        <v>-3</v>
      </c>
      <c r="AM72" s="123">
        <f>MAX(AM68:AM71)+1</f>
        <v>7</v>
      </c>
      <c r="AN72" s="123">
        <f>MAX(AN68:AN71)+1</f>
        <v>10</v>
      </c>
      <c r="AO72" s="123">
        <f>MAX(AO68:AO71)+1</f>
        <v>10</v>
      </c>
      <c r="AP72" s="123">
        <f>MAX(AP68:AP71)+1</f>
        <v>90000010.405643806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1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0</v>
      </c>
      <c r="AL74" s="123">
        <f>AI74-AJ74</f>
        <v>5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90000010.000912979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0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5 - 0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1</v>
      </c>
      <c r="AL75" s="123">
        <f>AI75-AJ75</f>
        <v>2</v>
      </c>
      <c r="AM75" s="123">
        <f>AL75-AL78</f>
        <v>8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60000007.167525202</v>
      </c>
      <c r="AQ75" s="126">
        <f>VLOOKUP(AE75,db_fifarank,2,FALSE)</f>
        <v>1717.07</v>
      </c>
      <c r="AR75" s="125">
        <f>AP75/AP78</f>
        <v>0.66666666481759151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3 - 1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3</v>
      </c>
      <c r="AI76" s="123">
        <f>SUMIF($E$7:$E$78,$AE76,$F$7:$F$78) + SUMIF($H$7:$H$78,$AE76,$G$7:$G$78)</f>
        <v>0</v>
      </c>
      <c r="AJ76" s="123">
        <f>SUMIF($E$7:$E$78,$AE76,$G$7:$G$78) + SUMIF($H$7:$H$78,$AE76,$F$7:$F$78)</f>
        <v>6</v>
      </c>
      <c r="AL76" s="123">
        <f>AI76-AJ76</f>
        <v>-6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6.7315499999999993E-4</v>
      </c>
      <c r="AQ76" s="126">
        <f>VLOOKUP(AE76,db_fifarank,2,FALSE)</f>
        <v>1346.31</v>
      </c>
      <c r="AR76" s="125">
        <f>AP76/AP78</f>
        <v>7.479499085763126E-12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1 - 2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2</v>
      </c>
      <c r="AL77" s="123">
        <f>AI77-AJ77</f>
        <v>-1</v>
      </c>
      <c r="AM77" s="123">
        <f>AL77-AL78</f>
        <v>5</v>
      </c>
      <c r="AN77" s="123">
        <f>AF77*3+AG77</f>
        <v>3</v>
      </c>
      <c r="AO77" s="123">
        <f>AN77/AN78*10+BA77</f>
        <v>3</v>
      </c>
      <c r="AP77" s="123">
        <f>AO77*10000000+BI77*100+AM77/AM78*10+AI77/AI78*1++IF(AQ77=0,ROW(),AQ77)/2000000</f>
        <v>30000004.334103655</v>
      </c>
      <c r="AQ77" s="126">
        <f>VLOOKUP(AE77,db_fifarank,2,FALSE)</f>
        <v>1540.64</v>
      </c>
      <c r="AR77" s="125">
        <f>AP77/AP78</f>
        <v>0.33333334074591758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0 - 6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6</v>
      </c>
      <c r="AL78" s="123">
        <f>MIN(AL74:AL77)</f>
        <v>-6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90000011.000912979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1</v>
      </c>
      <c r="AJ80" s="123">
        <f>VLOOKUP($AE80,$AE$8:$AQ$78,6,FALSE)</f>
        <v>3</v>
      </c>
      <c r="AK80" s="123" t="s">
        <v>3180</v>
      </c>
      <c r="AL80" s="123">
        <f>VLOOKUP($AE80,$AE$8:$AQ$78,8,FALSE)</f>
        <v>-2</v>
      </c>
      <c r="AM80" s="123">
        <f>AL80-$AL$92</f>
        <v>6</v>
      </c>
      <c r="AN80" s="123">
        <f>VLOOKUP($AE80,$AE$8:$AQ$78,10,FALSE)</f>
        <v>3</v>
      </c>
      <c r="AP80" s="123">
        <f>AN80/AN92*10000+AM80/AM92*1000+AI80/AI92*100+IF(AQ80=0,ROW(),AQ80)/2000000</f>
        <v>5512.5007506900001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United States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2 - 1</v>
      </c>
      <c r="P81" s="98">
        <f>L81*3+M81</f>
        <v>5</v>
      </c>
      <c r="AD81" s="123">
        <f t="shared" ref="AD81:AD91" si="38">COUNTIF($AP$80:$AP$91,CONCATENATE("&gt;=",AP81))</f>
        <v>8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5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2095.8340262533329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Norway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7 - 4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7</v>
      </c>
      <c r="AK82" s="123" t="s">
        <v>3182</v>
      </c>
      <c r="AL82" s="123">
        <f t="shared" si="43"/>
        <v>-5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5275.0007491750002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Ⓛ Panama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1 - 2</v>
      </c>
      <c r="P83" s="101">
        <f t="shared" si="48"/>
        <v>3</v>
      </c>
      <c r="AD83" s="123">
        <f t="shared" si="38"/>
        <v>1</v>
      </c>
      <c r="AE83" s="124" t="str">
        <f>J29</f>
        <v>United States</v>
      </c>
      <c r="AF83" s="123">
        <f t="shared" si="39"/>
        <v>1</v>
      </c>
      <c r="AG83" s="123">
        <f t="shared" si="49"/>
        <v>2</v>
      </c>
      <c r="AH83" s="123">
        <f t="shared" si="40"/>
        <v>0</v>
      </c>
      <c r="AI83" s="123">
        <f t="shared" si="41"/>
        <v>2</v>
      </c>
      <c r="AJ83" s="123">
        <f t="shared" si="42"/>
        <v>1</v>
      </c>
      <c r="AK83" s="123" t="s">
        <v>3184</v>
      </c>
      <c r="AL83" s="123">
        <f t="shared" si="43"/>
        <v>1</v>
      </c>
      <c r="AM83" s="123">
        <f t="shared" si="44"/>
        <v>9</v>
      </c>
      <c r="AN83" s="123">
        <f t="shared" si="45"/>
        <v>5</v>
      </c>
      <c r="AP83" s="123">
        <f>AN83/AN92*10000+AM83/AM92*1000+AI83/AI92*100+IF(AQ83=0,ROW(),AQ83)/2000000</f>
        <v>9108.3341698983331</v>
      </c>
      <c r="AQ83" s="126">
        <f t="shared" si="37"/>
        <v>1673.13</v>
      </c>
      <c r="AR83" s="125" t="str">
        <f t="shared" si="50"/>
        <v>ABCD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3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Ⓐ Czech Republic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1 - 3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11</v>
      </c>
      <c r="AE84" s="124" t="str">
        <f>J35</f>
        <v>Ivory Coast</v>
      </c>
      <c r="AF84" s="123">
        <f t="shared" si="39"/>
        <v>0</v>
      </c>
      <c r="AG84" s="123">
        <f t="shared" si="49"/>
        <v>1</v>
      </c>
      <c r="AH84" s="123">
        <f t="shared" si="40"/>
        <v>2</v>
      </c>
      <c r="AI84" s="123">
        <f t="shared" si="41"/>
        <v>0</v>
      </c>
      <c r="AJ84" s="123">
        <f t="shared" si="42"/>
        <v>7</v>
      </c>
      <c r="AK84" s="123" t="s">
        <v>3185</v>
      </c>
      <c r="AL84" s="123">
        <f t="shared" si="43"/>
        <v>-7</v>
      </c>
      <c r="AM84" s="123">
        <f t="shared" si="44"/>
        <v>1</v>
      </c>
      <c r="AN84" s="123">
        <f t="shared" si="45"/>
        <v>1</v>
      </c>
      <c r="AP84" s="123">
        <f>AN84/AN92*10000+AM84/AM92*1000+AI84/AI92*100+IF(AQ84=0,ROW(),AQ84)/2000000</f>
        <v>1750.0007664899997</v>
      </c>
      <c r="AQ84" s="126">
        <f t="shared" si="37"/>
        <v>1532.98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2 - 7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Tunisia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3</v>
      </c>
      <c r="AJ85" s="123">
        <f t="shared" si="42"/>
        <v>5</v>
      </c>
      <c r="AK85" s="123" t="s">
        <v>3186</v>
      </c>
      <c r="AL85" s="123">
        <f t="shared" si="43"/>
        <v>-2</v>
      </c>
      <c r="AM85" s="123">
        <f t="shared" si="44"/>
        <v>6</v>
      </c>
      <c r="AN85" s="123">
        <f t="shared" si="45"/>
        <v>1</v>
      </c>
      <c r="AP85" s="123">
        <f>AN85/AN92*10000+AM85/AM92*1000+AI85/AI92*100+IF(AQ85=0,ROW(),AQ85)/2000000</f>
        <v>2204.1674081916667</v>
      </c>
      <c r="AQ85" s="126">
        <f t="shared" si="37"/>
        <v>1483.05</v>
      </c>
      <c r="AR85" s="125" t="str">
        <f t="shared" si="50"/>
        <v>ABCDF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3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Ⓕ Tunisia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1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8"/>
        <v>1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9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0</v>
      </c>
      <c r="AJ86" s="123">
        <f t="shared" si="42"/>
        <v>3</v>
      </c>
      <c r="AK86" s="123" t="s">
        <v>3187</v>
      </c>
      <c r="AL86" s="123">
        <f t="shared" si="43"/>
        <v>-3</v>
      </c>
      <c r="AM86" s="123">
        <f t="shared" si="44"/>
        <v>5</v>
      </c>
      <c r="AN86" s="123">
        <f t="shared" si="45"/>
        <v>1</v>
      </c>
      <c r="AP86" s="123">
        <f>AN86/AN92*10000+AM86/AM92*1000+AI86/AI92*100+IF(AQ86=0,ROW(),AQ86)/2000000</f>
        <v>2083.3341409833329</v>
      </c>
      <c r="AQ86" s="126">
        <f t="shared" si="37"/>
        <v>1615.3</v>
      </c>
      <c r="AR86" s="125" t="str">
        <f t="shared" si="50"/>
        <v>ABCDF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Ⓚ DR Congo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1</v>
      </c>
      <c r="N87" s="100">
        <f>VLOOKUP(7,$AD$80:$AN$91,5,FALSE)</f>
        <v>2</v>
      </c>
      <c r="O87" s="100" t="str">
        <f>VLOOKUP(7,$AD$80:$AN$91,6,FALSE) &amp; " - " &amp; VLOOKUP(7,$AD$80:$AN$91,7,FALSE)</f>
        <v>1 - 3</v>
      </c>
      <c r="P87" s="101">
        <f t="shared" si="48"/>
        <v>1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0</v>
      </c>
      <c r="AJ87" s="123">
        <f t="shared" si="42"/>
        <v>8</v>
      </c>
      <c r="AK87" s="123" t="s">
        <v>3188</v>
      </c>
      <c r="AL87" s="123">
        <f t="shared" si="43"/>
        <v>-8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1666.6673773816665</v>
      </c>
      <c r="AQ87" s="126">
        <f t="shared" si="37"/>
        <v>1421.43</v>
      </c>
      <c r="AR87" s="125" t="str">
        <f t="shared" si="50"/>
        <v>ABCDF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Ⓑ Bosnia and Herzegovina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1</v>
      </c>
      <c r="N88" s="100">
        <f>VLOOKUP(8,$AD$80:$AN$91,5,FALSE)</f>
        <v>2</v>
      </c>
      <c r="O88" s="100" t="str">
        <f>VLOOKUP(8,$AD$80:$AN$91,6,FALSE) &amp; " - " &amp; VLOOKUP(8,$AD$80:$AN$91,7,FALSE)</f>
        <v>1 - 4</v>
      </c>
      <c r="P88" s="101">
        <f t="shared" si="48"/>
        <v>1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2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7</v>
      </c>
      <c r="AJ88" s="123">
        <f t="shared" si="42"/>
        <v>4</v>
      </c>
      <c r="AK88" s="123" t="s">
        <v>3189</v>
      </c>
      <c r="AL88" s="123">
        <f t="shared" si="43"/>
        <v>3</v>
      </c>
      <c r="AM88" s="123">
        <f t="shared" si="44"/>
        <v>11</v>
      </c>
      <c r="AN88" s="123">
        <f t="shared" si="45"/>
        <v>4</v>
      </c>
      <c r="AP88" s="123">
        <f>AN88/AN92*10000+AM88/AM92*1000+AI88/AI92*100+IF(AQ88=0,ROW(),AQ88)/2000000</f>
        <v>7670.834108803333</v>
      </c>
      <c r="AQ88" s="126">
        <f t="shared" si="37"/>
        <v>1550.94</v>
      </c>
      <c r="AR88" s="125" t="str">
        <f t="shared" si="50"/>
        <v>ABCDFI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0 - 3</v>
      </c>
      <c r="P89" s="104">
        <f t="shared" si="48"/>
        <v>1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10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0</v>
      </c>
      <c r="AJ89" s="123">
        <f t="shared" si="42"/>
        <v>4</v>
      </c>
      <c r="AK89" s="123" t="s">
        <v>3190</v>
      </c>
      <c r="AL89" s="123">
        <f t="shared" si="43"/>
        <v>-4</v>
      </c>
      <c r="AM89" s="123">
        <f t="shared" si="44"/>
        <v>4</v>
      </c>
      <c r="AN89" s="123">
        <f t="shared" si="45"/>
        <v>1</v>
      </c>
      <c r="AP89" s="123">
        <f>AN89/AN92*10000+AM89/AM92*1000+AI89/AI92*100+IF(AQ89=0,ROW(),AQ89)/2000000</f>
        <v>2000.0007821299998</v>
      </c>
      <c r="AQ89" s="126">
        <f t="shared" si="37"/>
        <v>1564.26</v>
      </c>
      <c r="AR89" s="125" t="str">
        <f t="shared" si="50"/>
        <v>ABCDFI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Algeria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0 - 4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Paraguay</v>
      </c>
      <c r="T90" s="127" t="str" cm="1">
        <f t="array" ref="T90">IF(OR(S90="",S90="draw"),INDEX(T,92,lang),S90)</f>
        <v>Paraguay</v>
      </c>
      <c r="AD90" s="123">
        <f t="shared" si="38"/>
        <v>7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3</v>
      </c>
      <c r="AK90" s="123" t="s">
        <v>3191</v>
      </c>
      <c r="AL90" s="123">
        <f t="shared" si="43"/>
        <v>-2</v>
      </c>
      <c r="AM90" s="123">
        <f t="shared" si="44"/>
        <v>6</v>
      </c>
      <c r="AN90" s="123">
        <f t="shared" si="45"/>
        <v>1</v>
      </c>
      <c r="AP90" s="123">
        <f>AN90/AN92*10000+AM90/AM92*1000+AI90/AI92*100+IF(AQ90=0,ROW(),AQ90)/2000000</f>
        <v>2179.1674058416666</v>
      </c>
      <c r="AQ90" s="126">
        <f t="shared" si="37"/>
        <v>1478.35</v>
      </c>
      <c r="AR90" s="125" t="str">
        <f t="shared" si="50"/>
        <v>ABCDFIK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Ⓔ Ivory Coast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0 - 7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3</v>
      </c>
      <c r="AE91" s="124" t="str">
        <f>J77</f>
        <v>Panama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1</v>
      </c>
      <c r="AJ91" s="123">
        <f>VLOOKUP($AE91,$AE$8:$AQ$78,6,FALSE)</f>
        <v>2</v>
      </c>
      <c r="AK91" s="123" t="s">
        <v>3192</v>
      </c>
      <c r="AL91" s="123">
        <f>VLOOKUP($AE91,$AE$8:$AQ$78,8,FALSE)</f>
        <v>-1</v>
      </c>
      <c r="AM91" s="123">
        <f t="shared" si="44"/>
        <v>7</v>
      </c>
      <c r="AN91" s="123">
        <f>VLOOKUP($AE91,$AE$8:$AQ$78,10,FALSE)</f>
        <v>3</v>
      </c>
      <c r="AP91" s="123">
        <f>AN91/AN92*10000+AM91/AM92*1000+AI91/AI92*100+IF(AQ91=0,ROW(),AQ91)/2000000</f>
        <v>5595.8341036533329</v>
      </c>
      <c r="AQ91" s="126">
        <f t="shared" si="37"/>
        <v>1540.64</v>
      </c>
      <c r="AR91" s="125" t="str">
        <f t="shared" si="50"/>
        <v>ABCDFIKL</v>
      </c>
      <c r="AS91" s="129" t="str">
        <f t="shared" si="46"/>
        <v>Panama</v>
      </c>
      <c r="AT91" s="130" t="str">
        <f>"Ⓛ "&amp;AE91</f>
        <v>Ⓛ Panama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0 - 8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8</v>
      </c>
      <c r="AJ92" s="123">
        <f>MAX(AJ80:AJ91)+1</f>
        <v>9</v>
      </c>
      <c r="AL92" s="123">
        <f>MIN(AL80:AL91)</f>
        <v>-8</v>
      </c>
      <c r="AM92" s="123">
        <f>MAX(AM80:AM91)+1</f>
        <v>12</v>
      </c>
      <c r="AN92" s="123">
        <f>MAX(AN80:AN91)+1</f>
        <v>6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3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Germany</v>
      </c>
      <c r="T102" s="127" t="str" cm="1">
        <f t="array" ref="T102">IF(OR(S102="",S102="draw"),INDEX(T,98,lang),S102)</f>
        <v>Germany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442</v>
      </c>
      <c r="C3" s="121" t="str">
        <f>'2026 World Cup'!AR91</f>
        <v>ABCDFIKL</v>
      </c>
      <c r="D3" s="121" t="str">
        <f>VLOOKUP($C3,$C$6:$K$500,2,FALSE)</f>
        <v>3C</v>
      </c>
      <c r="E3" s="121" t="str">
        <f>VLOOKUP($C3,$C$6:$K$500,3,FALSE)</f>
        <v>3I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06F820-DF75-4DD4-B0CB-CEA08B3E9536}"/>
</file>

<file path=customXml/itemProps2.xml><?xml version="1.0" encoding="utf-8"?>
<ds:datastoreItem xmlns:ds="http://schemas.openxmlformats.org/officeDocument/2006/customXml" ds:itemID="{6621D7CA-2B5E-4FA3-A817-C83E9355C3A1}"/>
</file>

<file path=customXml/itemProps3.xml><?xml version="1.0" encoding="utf-8"?>
<ds:datastoreItem xmlns:ds="http://schemas.openxmlformats.org/officeDocument/2006/customXml" ds:itemID="{DB8687B7-5722-44D6-9BD8-DEDC48FF4E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Sara Seehuus</cp:lastModifiedBy>
  <cp:revision/>
  <dcterms:created xsi:type="dcterms:W3CDTF">2017-12-27T19:32:51Z</dcterms:created>
  <dcterms:modified xsi:type="dcterms:W3CDTF">2026-06-11T17:38:11Z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