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smseehuu_uio_no/Documents/Skrivebord/"/>
    </mc:Choice>
  </mc:AlternateContent>
  <xr:revisionPtr revIDLastSave="261" documentId="8_{891A7BEF-CBF1-4166-B14F-87E2A1CE779F}" xr6:coauthVersionLast="47" xr6:coauthVersionMax="47" xr10:uidLastSave="{9702E1E4-4881-4A96-A9B2-BCFC0B8B72D5}"/>
  <bookViews>
    <workbookView xWindow="3828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T41" i="3" s="1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18" i="3"/>
  <c r="S40" i="3"/>
  <c r="S62" i="3"/>
  <c r="T61" i="3"/>
  <c r="S38" i="3"/>
  <c r="S65" i="3"/>
  <c r="S55" i="3"/>
  <c r="T11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D58" i="3" s="1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11" i="3"/>
  <c r="AR10" i="3"/>
  <c r="AR70" i="3" l="1"/>
  <c r="AR69" i="3"/>
  <c r="AR35" i="3"/>
  <c r="AR71" i="3"/>
  <c r="AR9" i="3"/>
  <c r="AD9" i="3" s="1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M71" i="3" l="1"/>
  <c r="J69" i="3"/>
  <c r="AS68" i="3" s="1"/>
  <c r="BL70" i="3" s="1"/>
  <c r="M69" i="3"/>
  <c r="O69" i="3"/>
  <c r="N69" i="3"/>
  <c r="L69" i="3"/>
  <c r="J70" i="3"/>
  <c r="AS69" i="3" s="1"/>
  <c r="BL26" i="3" s="1"/>
  <c r="BS28" i="3" s="1"/>
  <c r="J71" i="3"/>
  <c r="AE90" i="3" s="1"/>
  <c r="AQ90" i="3" s="1"/>
  <c r="O71" i="3"/>
  <c r="N71" i="3"/>
  <c r="L71" i="3"/>
  <c r="M35" i="3"/>
  <c r="L72" i="3"/>
  <c r="N70" i="3"/>
  <c r="L70" i="3"/>
  <c r="O70" i="3"/>
  <c r="N72" i="3"/>
  <c r="M70" i="3"/>
  <c r="J33" i="3"/>
  <c r="AS32" i="3" s="1"/>
  <c r="BL10" i="3" s="1"/>
  <c r="N36" i="3"/>
  <c r="N35" i="3"/>
  <c r="O36" i="3"/>
  <c r="L36" i="3"/>
  <c r="J36" i="3"/>
  <c r="M72" i="3"/>
  <c r="J72" i="3"/>
  <c r="O72" i="3"/>
  <c r="O34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S86" i="3"/>
  <c r="T86" i="3" s="1" a="1"/>
  <c r="T86" i="3" s="1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AF90" i="3"/>
  <c r="AG90" i="3"/>
  <c r="P35" i="3" l="1"/>
  <c r="P71" i="3"/>
  <c r="AH90" i="3"/>
  <c r="P69" i="3"/>
  <c r="K69" i="3"/>
  <c r="AI90" i="3"/>
  <c r="AT90" i="3"/>
  <c r="AN90" i="3"/>
  <c r="AL90" i="3"/>
  <c r="AJ90" i="3"/>
  <c r="P72" i="3"/>
  <c r="K72" i="3"/>
  <c r="K71" i="3"/>
  <c r="K70" i="3"/>
  <c r="P70" i="3"/>
  <c r="K36" i="3"/>
  <c r="P33" i="3"/>
  <c r="P34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S69" i="3"/>
  <c r="BZ65" i="3" s="1"/>
  <c r="CG56" i="3" s="1"/>
  <c r="BS68" i="3"/>
  <c r="BZ49" i="3" l="1"/>
  <c r="CG55" i="3" s="1"/>
  <c r="CN49" i="3" s="1"/>
  <c r="S91" i="3"/>
  <c r="T91" i="3" s="1" a="1"/>
  <c r="T91" i="3" s="1"/>
  <c r="BS37" i="3"/>
  <c r="CN38" i="3" l="1"/>
  <c r="S98" i="3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<sst xmlns="http://schemas.openxmlformats.org/spreadsheetml/2006/main" count="9786" uniqueCount="3698">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</sst>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12" zoomScaleNormal="100" workbookViewId="0">
      <selection activeCell="CO50" sqref="CO50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2</v>
      </c>
      <c r="AL8" s="123">
        <f>AI8-AJ8</f>
        <v>5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90000009.966749609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7 - 2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6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0.12571486500000001</v>
      </c>
      <c r="AQ9" s="126">
        <f>VLOOKUP(AE9,db_fifarank,2,FALSE)</f>
        <v>1429.73</v>
      </c>
      <c r="AR9" s="125">
        <f>AP9/AP12</f>
        <v>1.3968316631255214E-9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6 - 5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1</v>
      </c>
      <c r="W10" s="123">
        <f t="shared" si="4"/>
        <v>1</v>
      </c>
      <c r="X10" s="123">
        <f t="shared" si="9"/>
        <v>1</v>
      </c>
      <c r="Y10" s="123">
        <f t="shared" si="10"/>
        <v>1</v>
      </c>
      <c r="Z10" s="123">
        <f t="shared" si="11"/>
        <v>1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5</v>
      </c>
      <c r="AL10" s="123">
        <f>AI10-AJ10</f>
        <v>1</v>
      </c>
      <c r="AM10" s="123">
        <f>AL10-AL12</f>
        <v>6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60000006.205339782</v>
      </c>
      <c r="AQ10" s="126">
        <f>VLOOKUP(AE10,db_fifarank,2,FALSE)</f>
        <v>1588.66</v>
      </c>
      <c r="AR10" s="125">
        <f>AP10/AP12</f>
        <v>0.66666665437970563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3 - 4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4</v>
      </c>
      <c r="AL11" s="123">
        <f>AI11-AJ11</f>
        <v>-1</v>
      </c>
      <c r="AM11" s="123">
        <f>AL11-AL12</f>
        <v>4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30000004.012114327</v>
      </c>
      <c r="AQ11" s="126">
        <f>VLOOKUP(AE11,db_fifarank,2,FALSE)</f>
        <v>1501.38</v>
      </c>
      <c r="AR11" s="125">
        <f>AP11/AP12</f>
        <v>0.33333333729478981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1 - 6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8</v>
      </c>
      <c r="AL12" s="123">
        <f>MIN(AL8:AL11)</f>
        <v>-5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90000010.966749609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5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62500005.429349668</v>
      </c>
      <c r="AQ14" s="126">
        <f>VLOOKUP(AE14,db_fifarank,2,FALSE)</f>
        <v>1556.48</v>
      </c>
      <c r="AR14" s="125">
        <f>AP14/AP18</f>
        <v>0.71428568769895828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2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37500002.143550061</v>
      </c>
      <c r="AQ15" s="126">
        <f>VLOOKUP(AE15,db_fifarank,2,FALSE)</f>
        <v>1385.84</v>
      </c>
      <c r="AR15" s="125">
        <f>AP15/AP18</f>
        <v>0.42857139988726523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Turkey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1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3 - 2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12500000.143584624</v>
      </c>
      <c r="AQ16" s="126">
        <f>VLOOKUP(AE16,db_fifarank,2,FALSE)</f>
        <v>1454.96</v>
      </c>
      <c r="AR16" s="125">
        <f>AP16/AP18</f>
        <v>0.14285712677081802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9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87500009.857967556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3</v>
      </c>
      <c r="AI18" s="123">
        <f>MAX(AI14:AI17)+1</f>
        <v>7</v>
      </c>
      <c r="AL18" s="123">
        <f>MIN(AL14:AL17)</f>
        <v>-4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87500010.857967556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>
        <v>4</v>
      </c>
      <c r="BP18" s="112">
        <f>IF(OR(BM18="",BM19="",AND(BN18="",BN19&lt;&gt;""),AND(BN19="",BN18&lt;&gt;""),AND(BO18="",BO19&lt;&gt;""),AND(BO19="",BO18&lt;&gt;"")),"",BM18*1000+BN18*10+BO18)</f>
        <v>1004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>
        <v>2</v>
      </c>
      <c r="BP19" s="113">
        <f>IF(BP18="","",BM19*1000+BN19*10+BO19)</f>
        <v>1002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14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90000010.234213918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1</v>
      </c>
      <c r="BU20" s="63">
        <v>1</v>
      </c>
      <c r="BV20" s="25">
        <v>2</v>
      </c>
      <c r="BW20" s="116">
        <f>IF(OR(BT20="",BT21="",AND(BU20="",BU21&lt;&gt;""),AND(BU21="",BU20&lt;&gt;""),AND(BV20="",BV21&lt;&gt;""),AND(BV21="",BV20&lt;&gt;"")),"",BT20*1000+BU20*10+BV20)</f>
        <v>1012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60000007.167544596</v>
      </c>
      <c r="AQ21" s="126">
        <f>VLOOKUP(AE21,db_fifarank,2,FALSE)</f>
        <v>1755.87</v>
      </c>
      <c r="AR21" s="125">
        <f>AP21/AP24</f>
        <v>0.66666666308965217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>
        <v>1</v>
      </c>
      <c r="BV21" s="27">
        <v>4</v>
      </c>
      <c r="BW21" s="112">
        <f>IF(BW20="","",BT21*1000+BU21*10+BV21)</f>
        <v>1014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0.10064585500000001</v>
      </c>
      <c r="AQ22" s="126">
        <f>VLOOKUP(AE22,db_fifarank,2,FALSE)</f>
        <v>1291.71</v>
      </c>
      <c r="AR22" s="125">
        <f>AP22/AP24</f>
        <v>1.1182871381880341E-9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>
        <v>3</v>
      </c>
      <c r="BP22" s="116">
        <f>IF(OR(BM22="",BM23="",AND(BN22="",BN23&lt;&gt;""),AND(BN23="",BN22&lt;&gt;""),AND(BO22="",BO23&lt;&gt;""),AND(BO23="",BO22&lt;&gt;"")),"",BM22*1000+BN22*10+BO22)</f>
        <v>1003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5</v>
      </c>
      <c r="AL23" s="123">
        <f>AI23-AJ23</f>
        <v>-3</v>
      </c>
      <c r="AM23" s="123">
        <f>AL23-AL24</f>
        <v>4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30000002.867415842</v>
      </c>
      <c r="AQ23" s="126">
        <f>VLOOKUP(AE23,db_fifarank,2,FALSE)</f>
        <v>1498.35</v>
      </c>
      <c r="AR23" s="125">
        <f>AP23/AP24</f>
        <v>0.33333332358531087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>
        <v>5</v>
      </c>
      <c r="BP23" s="112">
        <f>IF(BP22="","",BM23*1000+BN23*10+BO23)</f>
        <v>1005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-7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90000011.234213918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4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3</v>
      </c>
      <c r="AN26" s="123">
        <f>AF26*3+AG26</f>
        <v>5</v>
      </c>
      <c r="AO26" s="123">
        <f>AN26/AN30*10+BA26</f>
        <v>9.3139158576051777</v>
      </c>
      <c r="AP26" s="123">
        <f>AO26*10000000+BI26*100+AM26/AM30*10+AI26/AI30*1++IF(AQ26=0,ROW(),AQ26)/2000000</f>
        <v>93139264.935140759</v>
      </c>
      <c r="AQ26" s="126">
        <f>VLOOKUP(AE26,db_fifarank,2,FALSE)</f>
        <v>1673.13</v>
      </c>
      <c r="AR26" s="125">
        <f>AP26/AP30</f>
        <v>0.99999998926338973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Colombia</v>
      </c>
      <c r="BM26" s="61">
        <v>2</v>
      </c>
      <c r="BN26" s="63">
        <v>3</v>
      </c>
      <c r="BO26" s="25"/>
      <c r="BP26" s="112">
        <f>IF(OR(BM26="",BM27="",AND(BN26="",BN27&lt;&gt;""),AND(BN27="",BN26&lt;&gt;""),AND(BO26="",BO27&lt;&gt;""),AND(BO27="",BO26&lt;&gt;"")),"",BM26*1000+BN26*10+BO26)</f>
        <v>2030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4 - 3</v>
      </c>
      <c r="P27" s="32">
        <f>L27*3+M27</f>
        <v>5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3</v>
      </c>
      <c r="AL27" s="123">
        <f>AI27-AJ27</f>
        <v>1</v>
      </c>
      <c r="AM27" s="123">
        <f>AL27-AL30</f>
        <v>3</v>
      </c>
      <c r="AN27" s="123">
        <f>AF27*3+AG27</f>
        <v>5</v>
      </c>
      <c r="AO27" s="123">
        <f>AN27/AN30*10+BA27</f>
        <v>9.3139158576051777</v>
      </c>
      <c r="AP27" s="123">
        <f>AO27*10000000+BI27*100+AM27/AM30*10+AI27/AI30*1++IF(AQ27=0,ROW(),AQ27)/2000000</f>
        <v>93139264.935055941</v>
      </c>
      <c r="AQ27" s="126">
        <f>VLOOKUP(AE27,db_fifarank,2,FALSE)</f>
        <v>1503.5</v>
      </c>
      <c r="AR27" s="125">
        <f>AP27/AP30</f>
        <v>0.99999998926247902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2</v>
      </c>
      <c r="BN27" s="64">
        <v>2</v>
      </c>
      <c r="BO27" s="27"/>
      <c r="BP27" s="113">
        <f>IF(BP26="","",BM27*1000+BN27*10+BO27)</f>
        <v>2020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0</v>
      </c>
      <c r="AN28" s="123">
        <f>AF28*3+AG28</f>
        <v>1</v>
      </c>
      <c r="AO28" s="123">
        <f>AN28/AN30*10+BA28</f>
        <v>1.6666666666666665</v>
      </c>
      <c r="AP28" s="123">
        <f>AO28*10000000+BI28*100+AM28/AM30*10+AI28/AI30*1++IF(AQ28=0,ROW(),AQ28)/2000000</f>
        <v>16666667.267457001</v>
      </c>
      <c r="AQ28" s="126">
        <f>VLOOKUP(AE28,db_fifarank,2,FALSE)</f>
        <v>1580.67</v>
      </c>
      <c r="AR28" s="125">
        <f>AP28/AP30</f>
        <v>0.17894351109727599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3 - 3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3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3</v>
      </c>
      <c r="AL29" s="123">
        <f>AI29-AJ29</f>
        <v>0</v>
      </c>
      <c r="AM29" s="123">
        <f>AL29-AL30</f>
        <v>2</v>
      </c>
      <c r="AN29" s="123">
        <f>AF29*3+AG29</f>
        <v>3</v>
      </c>
      <c r="AO29" s="123">
        <f>AN29/AN30*10+BA29</f>
        <v>5</v>
      </c>
      <c r="AP29" s="123">
        <f>AO29*10000000+BI29*100+AM29/AM30*10+AI29/AI30*1++IF(AQ29=0,ROW(),AQ29)/2000000</f>
        <v>50000005.600799523</v>
      </c>
      <c r="AQ29" s="126">
        <f>VLOOKUP(AE29,db_fifarank,2,FALSE)</f>
        <v>1599.04</v>
      </c>
      <c r="AR29" s="125">
        <f>AP29/AP30</f>
        <v>0.53683057407407475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3</v>
      </c>
      <c r="AI30" s="123">
        <f>MAX(AI26:AI29)+1</f>
        <v>5</v>
      </c>
      <c r="AL30" s="123">
        <f>MIN(AL26:AL29)</f>
        <v>-2</v>
      </c>
      <c r="AM30" s="123">
        <f>MAX(AM26:AM29)+1</f>
        <v>4</v>
      </c>
      <c r="AN30" s="123">
        <f>MAX(AN26:AN29)+1</f>
        <v>6</v>
      </c>
      <c r="AO30" s="123">
        <f>MAX(AO26:AO29)+1</f>
        <v>10.313915857605178</v>
      </c>
      <c r="AP30" s="123">
        <f>MAX(AP26:AP29)+1</f>
        <v>93139265.935140759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11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90000010.042531863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3</v>
      </c>
      <c r="AJ33" s="123">
        <f>SUMIF($E$7:$E$78,$AE33,$G$7:$G$78) + SUMIF($H$7:$H$78,$AE33,$F$7:$F$78)</f>
        <v>9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0.37564732499999998</v>
      </c>
      <c r="AQ33" s="126">
        <f>VLOOKUP(AE33,db_fifarank,2,FALSE)</f>
        <v>1294.6500000000001</v>
      </c>
      <c r="AR33" s="125">
        <f>AP33/AP36</f>
        <v>4.17385865455592E-9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3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3</v>
      </c>
      <c r="AL34" s="123">
        <f>AI34-AJ34</f>
        <v>2</v>
      </c>
      <c r="AM34" s="123">
        <f>AL34-AL36</f>
        <v>8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49805930.593404025</v>
      </c>
      <c r="AQ34" s="126">
        <f>VLOOKUP(AE34,db_fifarank,2,FALSE)</f>
        <v>1532.98</v>
      </c>
      <c r="AR34" s="125">
        <f>AP34/AP36</f>
        <v>0.55339916091640173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1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4 - 5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5</v>
      </c>
      <c r="AL35" s="123">
        <f>AI35-AJ35</f>
        <v>-1</v>
      </c>
      <c r="AM35" s="123">
        <f>AL35-AL36</f>
        <v>5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49805927.968434922</v>
      </c>
      <c r="AQ35" s="126">
        <f>VLOOKUP(AE35,db_fifarank,2,FALSE)</f>
        <v>1594.78</v>
      </c>
      <c r="AR35" s="125">
        <f>AP35/AP36</f>
        <v>0.55339913175008193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3 - 9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8</v>
      </c>
      <c r="AL36" s="123">
        <f>MIN(AL32:AL35)</f>
        <v>-6</v>
      </c>
      <c r="AM36" s="123">
        <f>MAX(AM32:AM35)+1</f>
        <v>12</v>
      </c>
      <c r="AN36" s="123">
        <f>MAX(AN32:AN35)+1</f>
        <v>10</v>
      </c>
      <c r="AO36" s="123">
        <f>MAX(AO32:AO35)+1</f>
        <v>10</v>
      </c>
      <c r="AP36" s="123">
        <f>MAX(AP32:AP35)+1</f>
        <v>90000011.042531863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1</v>
      </c>
      <c r="AL38" s="123">
        <f>AI38-AJ38</f>
        <v>8</v>
      </c>
      <c r="AM38" s="123">
        <f>AL38-AL42</f>
        <v>13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90000010.18659322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3</v>
      </c>
      <c r="AL39" s="123">
        <f>AI39-AJ39</f>
        <v>0</v>
      </c>
      <c r="AM39" s="123">
        <f>AL39-AL42</f>
        <v>5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60000003.87225879</v>
      </c>
      <c r="AQ39" s="126">
        <f>VLOOKUP(AE39,db_fifarank,2,FALSE)</f>
        <v>1660.43</v>
      </c>
      <c r="AR39" s="125">
        <f>AP39/AP42</f>
        <v>0.66666662682811584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2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3 - 3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6</v>
      </c>
      <c r="AL40" s="123">
        <f>AI40-AJ40</f>
        <v>-5</v>
      </c>
      <c r="AM40" s="123">
        <f>AL40-AL42</f>
        <v>0</v>
      </c>
      <c r="AN40" s="123">
        <f>AF40*3+AG40</f>
        <v>1</v>
      </c>
      <c r="AO40" s="123">
        <f>AN40/AN42*10+BA40</f>
        <v>1.9805825242718447</v>
      </c>
      <c r="AP40" s="123">
        <f>AO40*10000000+BI40*100+AM40/AM42*10+AI40/AI42*1++IF(AQ40=0,ROW(),AQ40)/2000000</f>
        <v>19805923.401728261</v>
      </c>
      <c r="AQ40" s="126">
        <f>VLOOKUP(AE40,db_fifarank,2,FALSE)</f>
        <v>1514.77</v>
      </c>
      <c r="AR40" s="125">
        <f>AP40/AP42</f>
        <v>0.22006578822157563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4</v>
      </c>
      <c r="G41" s="20">
        <v>0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3 - 6</v>
      </c>
      <c r="P41" s="34">
        <f>L41*3+M41</f>
        <v>1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6</v>
      </c>
      <c r="AL41" s="123">
        <f>AI41-AJ41</f>
        <v>-3</v>
      </c>
      <c r="AM41" s="123">
        <f>AL41-AL42</f>
        <v>2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19805925.030283831</v>
      </c>
      <c r="AQ41" s="126">
        <f>VLOOKUP(AE41,db_fifarank,2,FALSE)</f>
        <v>1483.05</v>
      </c>
      <c r="AR41" s="125">
        <f>AP41/AP42</f>
        <v>0.22006580631663528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1 - 6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10</v>
      </c>
      <c r="AL42" s="123">
        <f>MIN(AL38:AL41)</f>
        <v>-5</v>
      </c>
      <c r="AM42" s="123">
        <f>MAX(AM38:AM41)+1</f>
        <v>14</v>
      </c>
      <c r="AN42" s="123">
        <f>MAX(AN38:AN41)+1</f>
        <v>10</v>
      </c>
      <c r="AO42" s="123">
        <f>MAX(AO38:AO41)+1</f>
        <v>10</v>
      </c>
      <c r="AP42" s="123">
        <f>MAX(AP38:AP41)+1</f>
        <v>90000011.18659322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0</v>
      </c>
      <c r="AL44" s="123">
        <f>AI44-AJ44</f>
        <v>7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90000010.106636584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4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1</v>
      </c>
      <c r="AH45" s="123">
        <f>COUNTIF($S$7:$T$78,"=" &amp; AE45 &amp; "_lose")</f>
        <v>2</v>
      </c>
      <c r="AI45" s="123">
        <f>SUMIF($E$7:$E$78,$AE45,$F$7:$F$78) + SUMIF($H$7:$H$78,$AE45,$G$7:$G$78)</f>
        <v>0</v>
      </c>
      <c r="AJ45" s="123">
        <f>SUMIF($E$7:$E$78,$AE45,$G$7:$G$78) + SUMIF($H$7:$H$78,$AE45,$F$7:$F$78)</f>
        <v>5</v>
      </c>
      <c r="AL45" s="123">
        <f>AI45-AJ45</f>
        <v>-5</v>
      </c>
      <c r="AM45" s="123">
        <f>AL45-AL48</f>
        <v>0</v>
      </c>
      <c r="AN45" s="123">
        <f>AF45*3+AG45</f>
        <v>1</v>
      </c>
      <c r="AO45" s="123">
        <f>AN45/AN48*10+BA45</f>
        <v>1.9803921568627452</v>
      </c>
      <c r="AP45" s="123">
        <f>AO45*10000000+BI45*100+AM45/AM48*10+AI45/AI48*1++IF(AQ45=0,ROW(),AQ45)/2000000</f>
        <v>19804019.60862476</v>
      </c>
      <c r="AQ45" s="126">
        <f>VLOOKUP(AE45,db_fifarank,2,FALSE)</f>
        <v>1563.24</v>
      </c>
      <c r="AR45" s="125">
        <f>AP45/AP48</f>
        <v>0.2200446351629885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</v>
      </c>
      <c r="BA45" s="126">
        <f>AZ45/AZ48</f>
        <v>0.98039215686274506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</v>
      </c>
      <c r="BI45" s="126">
        <f>BH45/BH48</f>
        <v>0.98039215686274506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0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0</v>
      </c>
      <c r="W46" s="123">
        <f t="shared" si="4"/>
        <v>0</v>
      </c>
      <c r="X46" s="123">
        <f t="shared" si="9"/>
        <v>1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2</v>
      </c>
      <c r="AG46" s="123">
        <f>COUNTIF($S$7:$T$78,"=" &amp; AE46 &amp; "_draw")</f>
        <v>0</v>
      </c>
      <c r="AH46" s="123">
        <f>COUNTIF($S$7:$T$78,"=" &amp; AE46 &amp; "_lose")</f>
        <v>1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2</v>
      </c>
      <c r="AL46" s="123">
        <f>AI46-AJ46</f>
        <v>2</v>
      </c>
      <c r="AM46" s="123">
        <f>AL46-AL48</f>
        <v>7</v>
      </c>
      <c r="AN46" s="123">
        <f>AF46*3+AG46</f>
        <v>6</v>
      </c>
      <c r="AO46" s="123">
        <f>AN46/AN48*10+BA46</f>
        <v>6</v>
      </c>
      <c r="AP46" s="123">
        <f>AO46*10000000+BI46*100+AM46/AM48*10+AI46/AI48*1++IF(AQ46=0,ROW(),AQ46)/2000000</f>
        <v>60000005.885423034</v>
      </c>
      <c r="AQ46" s="126">
        <f>VLOOKUP(AE46,db_fifarank,2,FALSE)</f>
        <v>1615.3</v>
      </c>
      <c r="AR46" s="125">
        <f>AP46/AP48</f>
        <v>0.66666664978887591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0 - 4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4</v>
      </c>
      <c r="AL47" s="123">
        <f>AI47-AJ47</f>
        <v>-4</v>
      </c>
      <c r="AM47" s="123">
        <f>AL47-AL48</f>
        <v>1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19804020.37771469</v>
      </c>
      <c r="AQ47" s="126">
        <f>VLOOKUP(AE47,db_fifarank,2,FALSE)</f>
        <v>1281.57</v>
      </c>
      <c r="AR47" s="125">
        <f>AP47/AP48</f>
        <v>0.2200446437084311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3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Egypt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8</v>
      </c>
      <c r="AL48" s="123">
        <f>MIN(AL44:AL47)</f>
        <v>-5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90000011.106636584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Brazil</v>
      </c>
      <c r="CO49" s="62">
        <v>3</v>
      </c>
      <c r="CP49" s="64"/>
      <c r="CQ49" s="27"/>
      <c r="CR49" s="111">
        <f>IF(CR48="","",CO49*1000+CP49*10+CQ49)</f>
        <v>3000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0</v>
      </c>
      <c r="AL50" s="123">
        <f>AI50-AJ50</f>
        <v>7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90000010.209271535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0</v>
      </c>
      <c r="BN50" s="63"/>
      <c r="BO50" s="25">
        <v>4</v>
      </c>
      <c r="BP50" s="112">
        <f>IF(OR(BM50="",BM51="",AND(BN50="",BN51&lt;&gt;""),AND(BN51="",BN50&lt;&gt;""),AND(BO50="",BO51&lt;&gt;""),AND(BO51="",BO50&lt;&gt;"")),"",BM50*1000+BN50*10+BO50)</f>
        <v>4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5</v>
      </c>
      <c r="AL51" s="123">
        <f>AI51-AJ51</f>
        <v>-4</v>
      </c>
      <c r="AM51" s="123">
        <f>AL51-AL54</f>
        <v>3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30000002.125683066</v>
      </c>
      <c r="AQ51" s="126">
        <f>VLOOKUP(AE51,db_fifarank,2,FALSE)</f>
        <v>1366.13</v>
      </c>
      <c r="AR51" s="125">
        <f>AP51/AP54</f>
        <v>0.3333333154362158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Cape Verde</v>
      </c>
      <c r="BM51" s="62">
        <v>0</v>
      </c>
      <c r="BN51" s="64"/>
      <c r="BO51" s="27">
        <v>3</v>
      </c>
      <c r="BP51" s="113">
        <f>IF(BP50="","",BM51*1000+BN51*10+BO51)</f>
        <v>3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5 - 1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7</v>
      </c>
      <c r="AL52" s="123">
        <f>AI52-AJ52</f>
        <v>-7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7.10715E-4</v>
      </c>
      <c r="AQ52" s="126">
        <f>VLOOKUP(AE52,db_fifarank,2,FALSE)</f>
        <v>1421.43</v>
      </c>
      <c r="AR52" s="125">
        <f>AP52/AP54</f>
        <v>7.8968323498029098E-12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>
        <v>1</v>
      </c>
      <c r="BV52" s="25"/>
      <c r="BW52" s="116">
        <f>IF(OR(BT52="",BT53="",AND(BU52="",BU53&lt;&gt;""),AND(BU53="",BU52&lt;&gt;""),AND(BV52="",BV53&lt;&gt;""),AND(BV53="",BV52&lt;&gt;"")),"",BT52*1000+BU52*10+BV52)</f>
        <v>1010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11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60000007.959169872</v>
      </c>
      <c r="AQ53" s="126">
        <f>VLOOKUP(AE53,db_fifarank,2,FALSE)</f>
        <v>1673.07</v>
      </c>
      <c r="AR53" s="125">
        <f>AP53/AP54</f>
        <v>0.66666667207024577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>
        <v>2</v>
      </c>
      <c r="BV53" s="27"/>
      <c r="BW53" s="112">
        <f>IF(BW52="","",BT53*1000+BU53*10+BV53)</f>
        <v>1020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-7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90000011.209271535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>
        <v>0</v>
      </c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90000010.067605332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>
        <v>1</v>
      </c>
      <c r="CJ56" s="27"/>
      <c r="CK56" s="112">
        <f>IF(CK55="","",CH56*1000+CI56*10+CJ56)</f>
        <v>10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9 - 4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6</v>
      </c>
      <c r="AL57" s="123">
        <f>AI57-AJ57</f>
        <v>0</v>
      </c>
      <c r="AM57" s="123">
        <f>AL57-AL60</f>
        <v>6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49806555.278263845</v>
      </c>
      <c r="AQ57" s="126">
        <f>VLOOKUP(AE57,db_fifarank,2,FALSE)</f>
        <v>1688.99</v>
      </c>
      <c r="AR57" s="125">
        <f>AP57/AP60</f>
        <v>0.55340610170426141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1.1191506401520269E-9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6 - 6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5</v>
      </c>
      <c r="AL59" s="123">
        <f>AI59-AJ59</f>
        <v>1</v>
      </c>
      <c r="AM59" s="123">
        <f>AL59-AL60</f>
        <v>7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49806556.111528158</v>
      </c>
      <c r="AQ59" s="126">
        <f>VLOOKUP(AE59,db_fifarank,2,FALSE)</f>
        <v>1550.94</v>
      </c>
      <c r="AR59" s="125">
        <f>AP59/AP60</f>
        <v>0.55340611096275261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-6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90000011.067605332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2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90000010.131706655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3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49805925.909445301</v>
      </c>
      <c r="AQ63" s="126">
        <f>VLOOKUP(AE63,db_fifarank,2,FALSE)</f>
        <v>1564.26</v>
      </c>
      <c r="AR63" s="125">
        <f>AP63/AP66</f>
        <v>0.55339910832409733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Iran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5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49805927.44792144</v>
      </c>
      <c r="AQ64" s="126">
        <f>VLOOKUP(AE64,db_fifarank,2,FALSE)</f>
        <v>1593.45</v>
      </c>
      <c r="AR64" s="125">
        <f>AP64/AP66</f>
        <v>0.55339912541827463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>
        <v>1</v>
      </c>
      <c r="CC64" s="25">
        <v>5</v>
      </c>
      <c r="CD64" s="116">
        <f>IF(OR(CA64="",CA65="",AND(CB64="",CB65&lt;&gt;""),AND(CB65="",CB64&lt;&gt;""),AND(CC64="",CC65&lt;&gt;""),AND(CC65="",CC64&lt;&gt;"")),"",CA64*1000+CB64*10+CC64)</f>
        <v>1015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3 - 5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0.100695725</v>
      </c>
      <c r="AQ65" s="126">
        <f>VLOOKUP(AE65,db_fifarank,2,FALSE)</f>
        <v>1391.45</v>
      </c>
      <c r="AR65" s="125">
        <f>AP65/AP66</f>
        <v>1.1188412505043045E-9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>
        <v>1</v>
      </c>
      <c r="CC65" s="27">
        <v>4</v>
      </c>
      <c r="CD65" s="112">
        <f>IF(CD64="","",CA65*1000+CB65*10+CC65)</f>
        <v>1014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10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90000011.131706655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0</v>
      </c>
      <c r="BN66" s="63">
        <v>1</v>
      </c>
      <c r="BO66" s="25"/>
      <c r="BP66" s="112">
        <f>IF(OR(BM66="",BM67="",AND(BN66="",BN67&lt;&gt;""),AND(BN67="",BN66&lt;&gt;""),AND(BO66="",BO67&lt;&gt;""),AND(BO67="",BO66&lt;&gt;"")),"",BM66*1000+BN66*10+BO66)</f>
        <v>10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>
        <v>0</v>
      </c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10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90000009.966791004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>
        <v>0</v>
      </c>
      <c r="BV68" s="25">
        <v>4</v>
      </c>
      <c r="BW68" s="116">
        <f>IF(OR(BT68="",BT69="",AND(BU68="",BU69&lt;&gt;""),AND(BU69="",BU68&lt;&gt;""),AND(BV68="",BV69&lt;&gt;""),AND(BV69="",BV68&lt;&gt;"")),"",BT68*1000+BU68*10+BV68)</f>
        <v>4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0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5</v>
      </c>
      <c r="AL69" s="123">
        <f>AI69-AJ69</f>
        <v>-2</v>
      </c>
      <c r="AM69" s="123">
        <f>AL69-AL72</f>
        <v>3</v>
      </c>
      <c r="AN69" s="123">
        <f>AF69*3+AG69</f>
        <v>2</v>
      </c>
      <c r="AO69" s="123">
        <f>AN69/AN72*10+BA69</f>
        <v>2</v>
      </c>
      <c r="AP69" s="123">
        <f>AO69*10000000+BI69*100+AM69/AM72*10+AI69/AI72*1++IF(AQ69=0,ROW(),AQ69)/2000000</f>
        <v>20000003.103011902</v>
      </c>
      <c r="AQ69" s="126">
        <f>VLOOKUP(AE69,db_fifarank,2,FALSE)</f>
        <v>1478.35</v>
      </c>
      <c r="AR69" s="125">
        <f>AP69/AP72</f>
        <v>0.22222222962163504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0</v>
      </c>
      <c r="BU69" s="64">
        <v>0</v>
      </c>
      <c r="BV69" s="27">
        <v>5</v>
      </c>
      <c r="BW69" s="112">
        <f>IF(BW68="","",BT69*1000+BU69*10+BV69)</f>
        <v>5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</v>
      </c>
      <c r="AP70" s="123">
        <f>AO70*10000000+BI70*100+AM70/AM72*10+AI70/AI72*1++IF(AQ70=0,ROW(),AQ70)/2000000</f>
        <v>10000000.12573267</v>
      </c>
      <c r="AQ70" s="126">
        <f>VLOOKUP(AE70,db_fifarank,2,FALSE)</f>
        <v>1465.34</v>
      </c>
      <c r="AR70" s="125">
        <f>AP70/AP72</f>
        <v>0.1111110989688941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3 - 5</v>
      </c>
      <c r="P71" s="34">
        <f>L71*3+M71</f>
        <v>2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7</v>
      </c>
      <c r="AN71" s="123">
        <f>AF71*3+AG71</f>
        <v>4</v>
      </c>
      <c r="AO71" s="123">
        <f>AN71/AN72*10+BA71</f>
        <v>4</v>
      </c>
      <c r="AP71" s="123">
        <f>AO71*10000000+BI71*100+AM71/AM72*10+AI71/AI72*1++IF(AQ71=0,ROW(),AQ71)/2000000</f>
        <v>40000006.989482909</v>
      </c>
      <c r="AQ71" s="126">
        <f>VLOOKUP(AE71,db_fifarank,2,FALSE)</f>
        <v>1693.09</v>
      </c>
      <c r="AR71" s="125">
        <f>AP71/AP72</f>
        <v>0.44444446794837017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Ecuador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3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11</v>
      </c>
      <c r="AN72" s="123">
        <f>MAX(AN68:AN71)+1</f>
        <v>10</v>
      </c>
      <c r="AO72" s="123">
        <f>MAX(AO68:AO71)+1</f>
        <v>10</v>
      </c>
      <c r="AP72" s="123">
        <f>MAX(AP68:AP71)+1</f>
        <v>90000010.966791004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7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90000009.60805583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4</v>
      </c>
      <c r="AL75" s="123">
        <f>AI75-AJ75</f>
        <v>1</v>
      </c>
      <c r="AM75" s="123">
        <f>AL75-AL78</f>
        <v>4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60000005.715144254</v>
      </c>
      <c r="AQ75" s="126">
        <f>VLOOKUP(AE75,db_fifarank,2,FALSE)</f>
        <v>1717.07</v>
      </c>
      <c r="AR75" s="125">
        <f>AP75/AP78</f>
        <v>0.66666665159007998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5 - 4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19805923.587358318</v>
      </c>
      <c r="AQ76" s="126">
        <f>VLOOKUP(AE76,db_fifarank,2,FALSE)</f>
        <v>1346.31</v>
      </c>
      <c r="AR76" s="125">
        <f>AP76/AP78</f>
        <v>0.22006579169875681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5</v>
      </c>
      <c r="AL77" s="123">
        <f>AI77-AJ77</f>
        <v>-2</v>
      </c>
      <c r="AM77" s="123">
        <f>AL77-AL78</f>
        <v>1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19805924.980312623</v>
      </c>
      <c r="AQ77" s="126">
        <f>VLOOKUP(AE77,db_fifarank,2,FALSE)</f>
        <v>1540.64</v>
      </c>
      <c r="AR77" s="125">
        <f>AP77/AP78</f>
        <v>0.22006580717602506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2 - 5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7</v>
      </c>
      <c r="AL78" s="123">
        <f>MIN(AL74:AL77)</f>
        <v>-3</v>
      </c>
      <c r="AM78" s="123">
        <f>MAX(AM74:AM77)+1</f>
        <v>8</v>
      </c>
      <c r="AN78" s="123">
        <f>MAX(AN74:AN77)+1</f>
        <v>10</v>
      </c>
      <c r="AO78" s="123">
        <f>MAX(AO74:AO77)+1</f>
        <v>10</v>
      </c>
      <c r="AP78" s="123">
        <f>MAX(AP74:AP77)+1</f>
        <v>90000010.60805583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6642.8578935471432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6 - 6</v>
      </c>
      <c r="P81" s="98">
        <f>L81*3+M81</f>
        <v>4</v>
      </c>
      <c r="AD81" s="123">
        <f t="shared" ref="AD81:AD91" si="38">COUNTIF($AP$80:$AP$91,CONCATENATE("&gt;=",AP81))</f>
        <v>6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6414.2864072057146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Ecuador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4 - 5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5</v>
      </c>
      <c r="AK82" s="123" t="s">
        <v>3182</v>
      </c>
      <c r="AL82" s="123">
        <f t="shared" si="43"/>
        <v>-3</v>
      </c>
      <c r="AM82" s="123">
        <f t="shared" si="44"/>
        <v>1</v>
      </c>
      <c r="AN82" s="123">
        <f t="shared" si="45"/>
        <v>3</v>
      </c>
      <c r="AP82" s="123">
        <f>AN82/AN92*10000+AM82/AM92*1000+AI82/AI92*100+IF(AQ82=0,ROW(),AQ82)/2000000</f>
        <v>6228.5721777464287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Ⓙ Algeria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3 - 5</v>
      </c>
      <c r="P83" s="101">
        <f t="shared" si="48"/>
        <v>4</v>
      </c>
      <c r="AD83" s="123">
        <f t="shared" si="38"/>
        <v>4</v>
      </c>
      <c r="AE83" s="124" t="str">
        <f>J29</f>
        <v>Turkey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6842.8579423771434</v>
      </c>
      <c r="AQ83" s="126">
        <f t="shared" si="37"/>
        <v>1599.04</v>
      </c>
      <c r="AR83" s="125" t="str">
        <f t="shared" si="50"/>
        <v>ABCD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Ⓓ Turkey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2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5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4</v>
      </c>
      <c r="AP84" s="123">
        <f>AN84/AN92*10000+AM84/AM92*1000+AI84/AI92*100+IF(AQ84=0,ROW(),AQ84)/2000000</f>
        <v>8657.1436545328561</v>
      </c>
      <c r="AQ84" s="126">
        <f t="shared" si="37"/>
        <v>1594.78</v>
      </c>
      <c r="AR84" s="125" t="str">
        <f t="shared" si="50"/>
        <v>ABCDE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Ⓐ Czech Republic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Tunisia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3</v>
      </c>
      <c r="AJ85" s="123">
        <f t="shared" si="42"/>
        <v>6</v>
      </c>
      <c r="AK85" s="123" t="s">
        <v>3186</v>
      </c>
      <c r="AL85" s="123">
        <f t="shared" si="43"/>
        <v>-3</v>
      </c>
      <c r="AM85" s="123">
        <f t="shared" si="44"/>
        <v>1</v>
      </c>
      <c r="AN85" s="123">
        <f t="shared" si="45"/>
        <v>1</v>
      </c>
      <c r="AP85" s="123">
        <f>AN85/AN92*10000+AM85/AM92*1000+AI85/AI92*100+IF(AQ85=0,ROW(),AQ85)/2000000</f>
        <v>2242.8578843821429</v>
      </c>
      <c r="AQ85" s="126">
        <f t="shared" si="37"/>
        <v>1483.05</v>
      </c>
      <c r="AR85" s="125" t="str">
        <f t="shared" si="50"/>
        <v>ABCDE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Ⓑ Bosnia and Herzegovina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12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0</v>
      </c>
      <c r="AJ86" s="123">
        <f t="shared" si="42"/>
        <v>4</v>
      </c>
      <c r="AK86" s="123" t="s">
        <v>3187</v>
      </c>
      <c r="AL86" s="123">
        <f t="shared" si="43"/>
        <v>-4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2000.0006407850001</v>
      </c>
      <c r="AQ86" s="126">
        <f t="shared" si="37"/>
        <v>1281.57</v>
      </c>
      <c r="AR86" s="125" t="str">
        <f t="shared" si="50"/>
        <v>ABCDE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6014.2863973507147</v>
      </c>
      <c r="AQ87" s="126">
        <f t="shared" si="37"/>
        <v>1366.13</v>
      </c>
      <c r="AR87" s="125" t="str">
        <f t="shared" si="50"/>
        <v>ABCDEH</v>
      </c>
      <c r="AS87" s="129" t="str">
        <f t="shared" si="46"/>
        <v>Cape Verde</v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Ⓗ Cape Verde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1 - 5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draw</v>
      </c>
      <c r="T88" s="127" t="str" cm="1">
        <f t="array" ref="T88">IF(OR(S88="",S88="draw"),INDEX(T,90,lang),S88)</f>
        <v>Colombia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6</v>
      </c>
      <c r="AJ88" s="123">
        <f t="shared" si="42"/>
        <v>6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8885.7151302092861</v>
      </c>
      <c r="AQ88" s="126">
        <f t="shared" si="37"/>
        <v>1688.99</v>
      </c>
      <c r="AR88" s="125" t="str">
        <f t="shared" si="50"/>
        <v>ABCDEHI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3 - 5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draw</v>
      </c>
      <c r="T89" s="127" t="str" cm="1">
        <f t="array" ref="T89">IF(OR(S89="",S89="draw"),INDEX(T,91,lang),S89)</f>
        <v>Panama</v>
      </c>
      <c r="AD89" s="123">
        <f t="shared" si="38"/>
        <v>3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4</v>
      </c>
      <c r="AP89" s="123">
        <f>AN89/AN92*10000+AM89/AM92*1000+AI89/AI92*100+IF(AQ89=0,ROW(),AQ89)/2000000</f>
        <v>8442.8579249871436</v>
      </c>
      <c r="AQ89" s="126">
        <f t="shared" si="37"/>
        <v>1564.26</v>
      </c>
      <c r="AR89" s="125" t="str">
        <f t="shared" si="50"/>
        <v>ABCDEHIJ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Panama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9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3</v>
      </c>
      <c r="AJ90" s="123">
        <f t="shared" si="42"/>
        <v>5</v>
      </c>
      <c r="AK90" s="123" t="s">
        <v>3191</v>
      </c>
      <c r="AL90" s="123">
        <f t="shared" si="43"/>
        <v>-2</v>
      </c>
      <c r="AM90" s="123">
        <f t="shared" si="44"/>
        <v>2</v>
      </c>
      <c r="AN90" s="123">
        <f t="shared" si="45"/>
        <v>2</v>
      </c>
      <c r="AP90" s="123">
        <f>AN90/AN92*10000+AM90/AM92*1000+AI90/AI92*100+IF(AQ90=0,ROW(),AQ90)/2000000</f>
        <v>4442.8578820321427</v>
      </c>
      <c r="AQ90" s="126">
        <f t="shared" si="37"/>
        <v>1478.35</v>
      </c>
      <c r="AR90" s="125" t="str">
        <f t="shared" si="50"/>
        <v>ABCDEHIJ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Tunisia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2442.8579131771426</v>
      </c>
      <c r="AQ91" s="126">
        <f t="shared" si="37"/>
        <v>1540.64</v>
      </c>
      <c r="AR91" s="125" t="str">
        <f t="shared" si="50"/>
        <v>ABCDEHIJ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New Zealand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7</v>
      </c>
      <c r="AJ92" s="123">
        <f>MAX(AJ80:AJ91)+1</f>
        <v>7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470</v>
      </c>
      <c r="C3" s="121" t="str">
        <f>'2026 World Cup'!AR91</f>
        <v>ABCDEHIJ</v>
      </c>
      <c r="D3" s="121" t="str">
        <f>VLOOKUP($C3,$C$6:$K$500,2,FALSE)</f>
        <v>3H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E39FCCE5B25D41843728463D8702CD" ma:contentTypeVersion="3" ma:contentTypeDescription="Create a new document." ma:contentTypeScope="" ma:versionID="f505f3ad98644c83cb859187bc72af04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a0b7557082a514155e20f80737366982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AF0F19-8FFA-4BBD-9C80-B09602C77BC8}"/>
</file>

<file path=customXml/itemProps2.xml><?xml version="1.0" encoding="utf-8"?>
<ds:datastoreItem xmlns:ds="http://schemas.openxmlformats.org/officeDocument/2006/customXml" ds:itemID="{35904839-E817-4A8A-88B4-672ABCBEC551}"/>
</file>

<file path=customXml/itemProps3.xml><?xml version="1.0" encoding="utf-8"?>
<ds:datastoreItem xmlns:ds="http://schemas.openxmlformats.org/officeDocument/2006/customXml" ds:itemID="{8F3C9BC8-534E-4ED6-94D5-705603172A12}"/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Sara Seehuus</cp:lastModifiedBy>
  <cp:revision/>
  <dcterms:created xsi:type="dcterms:W3CDTF">2017-12-27T19:32:51Z</dcterms:created>
  <dcterms:modified xsi:type="dcterms:W3CDTF">2026-06-11T13:07:00Z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