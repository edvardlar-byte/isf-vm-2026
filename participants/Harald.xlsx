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7C3BE6EB-AABC-4F82-AA92-1F72782D9F0F}" xr6:coauthVersionLast="47" xr6:coauthVersionMax="47" xr10:uidLastSave="{00000000-0000-0000-0000-000000000000}"/>
  <bookViews>
    <workbookView xWindow="1170" yWindow="1170" windowWidth="26280" windowHeight="1777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18" i="3"/>
  <c r="T41" i="3"/>
  <c r="S40" i="3"/>
  <c r="S62" i="3"/>
  <c r="S38" i="3"/>
  <c r="S65" i="3"/>
  <c r="S55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R7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9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M69" i="3" l="1"/>
  <c r="J69" i="3"/>
  <c r="AS68" i="3" s="1"/>
  <c r="BL70" i="3" s="1"/>
  <c r="N72" i="3"/>
  <c r="M72" i="3"/>
  <c r="N69" i="3"/>
  <c r="L69" i="3"/>
  <c r="O69" i="3"/>
  <c r="J33" i="3"/>
  <c r="AS32" i="3" s="1"/>
  <c r="BL10" i="3" s="1"/>
  <c r="N36" i="3"/>
  <c r="O36" i="3"/>
  <c r="L70" i="3"/>
  <c r="J36" i="3"/>
  <c r="N35" i="3"/>
  <c r="J71" i="3"/>
  <c r="AE90" i="3" s="1"/>
  <c r="AQ90" i="3" s="1"/>
  <c r="L36" i="3"/>
  <c r="O72" i="3"/>
  <c r="J72" i="3"/>
  <c r="M71" i="3"/>
  <c r="L72" i="3"/>
  <c r="O71" i="3"/>
  <c r="N71" i="3"/>
  <c r="L71" i="3"/>
  <c r="M70" i="3"/>
  <c r="O34" i="3"/>
  <c r="M35" i="3"/>
  <c r="O70" i="3"/>
  <c r="J70" i="3"/>
  <c r="AS69" i="3" s="1"/>
  <c r="BL26" i="3" s="1"/>
  <c r="N70" i="3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S88" i="3" l="1"/>
  <c r="T88" i="3" s="1" a="1"/>
  <c r="T88" i="3" s="1"/>
  <c r="BS28" i="3"/>
  <c r="P69" i="3"/>
  <c r="K69" i="3"/>
  <c r="K72" i="3"/>
  <c r="P70" i="3"/>
  <c r="AT90" i="3"/>
  <c r="AL90" i="3"/>
  <c r="AN90" i="3"/>
  <c r="K70" i="3"/>
  <c r="AI90" i="3"/>
  <c r="AH90" i="3"/>
  <c r="AJ90" i="3"/>
  <c r="P71" i="3"/>
  <c r="P35" i="3"/>
  <c r="P34" i="3"/>
  <c r="P72" i="3"/>
  <c r="AF90" i="3"/>
  <c r="AG90" i="3"/>
  <c r="K71" i="3"/>
  <c r="P12" i="3"/>
  <c r="K36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U102" i="3" s="1"/>
  <c r="AC102" i="3" s="1" a="1"/>
  <c r="AC102" i="3" s="1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BS69" i="3" s="1"/>
  <c r="BZ65" i="3" s="1"/>
  <c r="CG56" i="3" s="1"/>
  <c r="CN38" i="3" s="1"/>
  <c r="CK68" i="3" s="1"/>
  <c r="I3" i="4"/>
  <c r="BL15" i="3" s="1"/>
  <c r="D3" i="4"/>
  <c r="BL51" i="3" s="1"/>
  <c r="BS53" i="3"/>
  <c r="BS52" i="3"/>
  <c r="BZ49" i="3" s="1"/>
  <c r="CG55" i="3" s="1"/>
  <c r="BS68" i="3"/>
  <c r="CN49" i="3" l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<sst xmlns="http://schemas.openxmlformats.org/spreadsheetml/2006/main" count="9786" uniqueCount="3698">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</sst>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41" zoomScaleNormal="100" workbookViewId="0">
      <selection activeCell="CQ50" sqref="CQ50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87500008.800840512</v>
      </c>
      <c r="AQ8" s="126">
        <f>VLOOKUP(AE8,db_fifarank,2,FALSE)</f>
        <v>1681.03</v>
      </c>
      <c r="AR8" s="125">
        <f>AP8/AP12</f>
        <v>0.9999999885714298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12500000.400714865</v>
      </c>
      <c r="AQ9" s="126">
        <f>VLOOKUP(AE9,db_fifarank,2,FALSE)</f>
        <v>1429.73</v>
      </c>
      <c r="AR9" s="125">
        <f>AP9/AP12</f>
        <v>0.14285713143537032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2 - 2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2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50000004.400794327</v>
      </c>
      <c r="AQ10" s="126">
        <f>VLOOKUP(AE10,db_fifarank,2,FALSE)</f>
        <v>1588.66</v>
      </c>
      <c r="AR10" s="125">
        <f>AP10/AP12</f>
        <v>0.57142855771787626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0</v>
      </c>
      <c r="BN10" s="63">
        <v>1</v>
      </c>
      <c r="BO10" s="25">
        <v>0</v>
      </c>
      <c r="BP10" s="112">
        <f>IF(OR(BM10="",BM11="",AND(BN10="",BN11&lt;&gt;""),AND(BN11="",BN10&lt;&gt;""),AND(BO10="",BO11&lt;&gt;""),AND(BO11="",BO10&lt;&gt;"")),"",BM10*1000+BN10*10+BO10)</f>
        <v>10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0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Haiti_win</v>
      </c>
      <c r="T11" s="127" t="str">
        <f t="shared" si="2"/>
        <v>Scotland_lose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2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37500004.600750692</v>
      </c>
      <c r="AQ11" s="126">
        <f>VLOOKUP(AE11,db_fifarank,2,FALSE)</f>
        <v>1501.38</v>
      </c>
      <c r="AR11" s="125">
        <f>AP11/AP12</f>
        <v>0.42857143314731916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>
        <v>0</v>
      </c>
      <c r="BO11" s="27">
        <v>0</v>
      </c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5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87500009.800840512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>
        <v>0</v>
      </c>
      <c r="BW12" s="112">
        <f>IF(OR(BT12="",BT13="",AND(BU12="",BU13&lt;&gt;""),AND(BU13="",BU12&lt;&gt;""),AND(BV12="",BV13&lt;&gt;""),AND(BV13="",BV12&lt;&gt;"")),"",BT12*1000+BU12*10+BV12)</f>
        <v>1010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Senegal</v>
      </c>
      <c r="BT13" s="62">
        <v>1</v>
      </c>
      <c r="BU13" s="64">
        <v>2</v>
      </c>
      <c r="BV13" s="27">
        <v>0</v>
      </c>
      <c r="BW13" s="113">
        <f>IF(BW12="","",BT13*1000+BU13*10+BV13)</f>
        <v>1020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0</v>
      </c>
      <c r="AJ14" s="123">
        <f>SUMIF($E$7:$E$78,$AE14,$G$7:$G$78) + SUMIF($H$7:$H$78,$AE14,$F$7:$F$78)</f>
        <v>3</v>
      </c>
      <c r="AL14" s="123">
        <f>AI14-AJ14</f>
        <v>-3</v>
      </c>
      <c r="AM14" s="123">
        <f>AL14-AL18</f>
        <v>0</v>
      </c>
      <c r="AN14" s="123">
        <f>AF14*3+AG14</f>
        <v>2</v>
      </c>
      <c r="AO14" s="123">
        <f>AN14/AN18*10+BA14</f>
        <v>2</v>
      </c>
      <c r="AP14" s="123">
        <f>AO14*10000000+BI14*100+AM14/AM18*10+AI14/AI18*1++IF(AQ14=0,ROW(),AQ14)/2000000</f>
        <v>20000000.000778239</v>
      </c>
      <c r="AQ14" s="126">
        <f>VLOOKUP(AE14,db_fifarank,2,FALSE)</f>
        <v>1556.48</v>
      </c>
      <c r="AR14" s="125">
        <f>AP14/AP18</f>
        <v>0.22222219515251757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Senegal</v>
      </c>
      <c r="BM14" s="61">
        <v>2</v>
      </c>
      <c r="BN14" s="63">
        <v>2</v>
      </c>
      <c r="BO14" s="25">
        <v>0</v>
      </c>
      <c r="BP14" s="116">
        <f>IF(OR(BM14="",BM15="",AND(BN14="",BN15&lt;&gt;""),AND(BN15="",BN14&lt;&gt;""),AND(BO14="",BO15&lt;&gt;""),AND(BO15="",BO14&lt;&gt;"")),"",BM14*1000+BN14*10+BO14)</f>
        <v>2020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3</v>
      </c>
      <c r="AL15" s="123">
        <f>AI15-AJ15</f>
        <v>-1</v>
      </c>
      <c r="AM15" s="123">
        <f>AL15-AL18</f>
        <v>2</v>
      </c>
      <c r="AN15" s="123">
        <f>AF15*3+AG15</f>
        <v>4</v>
      </c>
      <c r="AO15" s="123">
        <f>AN15/AN18*10+BA15</f>
        <v>4</v>
      </c>
      <c r="AP15" s="123">
        <f>AO15*10000000+BI15*100+AM15/AM18*10+AI15/AI18*1++IF(AQ15=0,ROW(),AQ15)/2000000</f>
        <v>40000002.068874739</v>
      </c>
      <c r="AQ15" s="126">
        <f>VLOOKUP(AE15,db_fifarank,2,FALSE)</f>
        <v>1385.84</v>
      </c>
      <c r="AR15" s="125">
        <f>AP15/AP18</f>
        <v>0.44444441327523521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>
        <v>0</v>
      </c>
      <c r="BO15" s="27">
        <v>0</v>
      </c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2 - 3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10000000.12572748</v>
      </c>
      <c r="AQ16" s="126">
        <f>VLOOKUP(AE16,db_fifarank,2,FALSE)</f>
        <v>1454.96</v>
      </c>
      <c r="AR16" s="125">
        <f>AP16/AP18</f>
        <v>0.11111109896890707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Senegal</v>
      </c>
      <c r="CA16" s="61">
        <v>1</v>
      </c>
      <c r="CB16" s="63">
        <v>2</v>
      </c>
      <c r="CC16" s="25">
        <v>2</v>
      </c>
      <c r="CD16" s="112">
        <f>IF(OR(CA16="",CA17="",AND(CB16="",CB17&lt;&gt;""),AND(CB17="",CB16&lt;&gt;""),AND(CC16="",CC17&lt;&gt;""),AND(CC17="",CC16&lt;&gt;"")),"",CA16*1000+CB16*10+CC16)</f>
        <v>1022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0 - 3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0</v>
      </c>
      <c r="AL17" s="123">
        <f>AI17-AJ17</f>
        <v>7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90000009.966733798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>
        <v>2</v>
      </c>
      <c r="CC17" s="27">
        <v>5</v>
      </c>
      <c r="CD17" s="113">
        <f>IF(CD16="","",CA17*1000+CB17*10+CC17)</f>
        <v>1025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8</v>
      </c>
      <c r="AL18" s="123">
        <f>MIN(AL14:AL17)</f>
        <v>-3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90000010.966733798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0</v>
      </c>
      <c r="BN18" s="63">
        <v>0</v>
      </c>
      <c r="BO18" s="25">
        <v>0</v>
      </c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>
        <v>1</v>
      </c>
      <c r="BO19" s="27">
        <v>0</v>
      </c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11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97305933.343518138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Bosnia and Herzegovina</v>
      </c>
      <c r="BT20" s="61">
        <v>0</v>
      </c>
      <c r="BU20" s="63">
        <v>0</v>
      </c>
      <c r="BV20" s="25">
        <v>0</v>
      </c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1</v>
      </c>
      <c r="AL21" s="123">
        <f>AI21-AJ21</f>
        <v>3</v>
      </c>
      <c r="AM21" s="123">
        <f>AL21-AL24</f>
        <v>8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97305930.468515486</v>
      </c>
      <c r="AQ21" s="126">
        <f>VLOOKUP(AE21,db_fifarank,2,FALSE)</f>
        <v>1755.87</v>
      </c>
      <c r="AR21" s="125">
        <f>AP21/AP24</f>
        <v>0.9999999601771189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>
        <v>1</v>
      </c>
      <c r="BV21" s="27">
        <v>0</v>
      </c>
      <c r="BW21" s="112">
        <f>IF(BW20="","",BT21*1000+BU21*10+BV21)</f>
        <v>1010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4 - 1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0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1</v>
      </c>
      <c r="AN22" s="123">
        <f>AF22*3+AG22</f>
        <v>3</v>
      </c>
      <c r="AO22" s="123">
        <f>AN22/AN24*10+BA22</f>
        <v>3.75</v>
      </c>
      <c r="AP22" s="123">
        <f>AO22*10000000+BI22*100+AM22/AM24*10+AI22/AI24*1++IF(AQ22=0,ROW(),AQ22)/2000000</f>
        <v>37500000.958979189</v>
      </c>
      <c r="AQ22" s="126">
        <f>VLOOKUP(AE22,db_fifarank,2,FALSE)</f>
        <v>1291.71</v>
      </c>
      <c r="AR22" s="125">
        <f>AP22/AP24</f>
        <v>0.38538246625938888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2</v>
      </c>
      <c r="BO22" s="25">
        <v>1</v>
      </c>
      <c r="BP22" s="116">
        <f>IF(OR(BM22="",BM23="",AND(BN22="",BN23&lt;&gt;""),AND(BN23="",BN22&lt;&gt;""),AND(BO22="",BO23&lt;&gt;""),AND(BO23="",BO22&lt;&gt;"")),"",BM22*1000+BN22*10+BO22)</f>
        <v>1021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0</v>
      </c>
      <c r="AH23" s="123">
        <f>COUNTIF($S$7:$T$78,"=" &amp; AE23 &amp; "_lose")</f>
        <v>3</v>
      </c>
      <c r="AI23" s="123">
        <f>SUMIF($E$7:$E$78,$AE23,$F$7:$F$78) + SUMIF($H$7:$H$78,$AE23,$G$7:$G$78)</f>
        <v>0</v>
      </c>
      <c r="AJ23" s="123">
        <f>SUMIF($E$7:$E$78,$AE23,$G$7:$G$78) + SUMIF($H$7:$H$78,$AE23,$F$7:$F$78)</f>
        <v>5</v>
      </c>
      <c r="AL23" s="123">
        <f>AI23-AJ23</f>
        <v>-5</v>
      </c>
      <c r="AM23" s="123">
        <f>AL23-AL24</f>
        <v>0</v>
      </c>
      <c r="AN23" s="123">
        <f>AF23*3+AG23</f>
        <v>0</v>
      </c>
      <c r="AO23" s="123">
        <f>AN23/AN24*10+BA23</f>
        <v>0</v>
      </c>
      <c r="AP23" s="123">
        <f>AO23*10000000+BI23*100+AM23/AM24*10+AI23/AI24*1++IF(AQ23=0,ROW(),AQ23)/2000000</f>
        <v>7.4917499999999993E-4</v>
      </c>
      <c r="AQ23" s="126">
        <f>VLOOKUP(AE23,db_fifarank,2,FALSE)</f>
        <v>1498.35</v>
      </c>
      <c r="AR23" s="125">
        <f>AP23/AP24</f>
        <v>7.6991707140408846E-12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1</v>
      </c>
      <c r="BO23" s="27">
        <v>0</v>
      </c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1</v>
      </c>
      <c r="CI23" s="63">
        <v>1</v>
      </c>
      <c r="CJ23" s="25">
        <v>0</v>
      </c>
      <c r="CK23" s="112">
        <f>IF(OR(CH23="",CH24="",AND(CI23="",CI24&lt;&gt;""),AND(CI24="",CI23&lt;&gt;""),AND(CJ23="",CJ24&lt;&gt;""),AND(CJ24="",CJ23&lt;&gt;"")),"",CH23*1000+CI23*10+CJ23)</f>
        <v>1010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-5</v>
      </c>
      <c r="AM24" s="123">
        <f>MAX(AM20:AM23)+1</f>
        <v>12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97305934.343518138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2</v>
      </c>
      <c r="CJ24" s="27">
        <v>0</v>
      </c>
      <c r="CK24" s="113">
        <f>IF(CK23="","",CH24*1000+CI24*10+CJ24)</f>
        <v>2020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0</v>
      </c>
      <c r="W26" s="123">
        <f t="shared" si="4"/>
        <v>0</v>
      </c>
      <c r="X26" s="123">
        <f t="shared" si="9"/>
        <v>1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1</v>
      </c>
      <c r="AJ26" s="123">
        <f>SUMIF($E$7:$E$78,$AE26,$G$7:$G$78) + SUMIF($H$7:$H$78,$AE26,$F$7:$F$78)</f>
        <v>3</v>
      </c>
      <c r="AL26" s="123">
        <f>AI26-AJ26</f>
        <v>-2</v>
      </c>
      <c r="AM26" s="123">
        <f>AL26-AL30</f>
        <v>1</v>
      </c>
      <c r="AN26" s="123">
        <f>AF26*3+AG26</f>
        <v>4</v>
      </c>
      <c r="AO26" s="123">
        <f>AN26/AN30*10+BA26</f>
        <v>4</v>
      </c>
      <c r="AP26" s="123">
        <f>AO26*10000000+BI26*100+AM26/AM30*10+AI26/AI30*1++IF(AQ26=0,ROW(),AQ26)/2000000</f>
        <v>40000001.034927472</v>
      </c>
      <c r="AQ26" s="126">
        <f>VLOOKUP(AE26,db_fifarank,2,FALSE)</f>
        <v>1673.13</v>
      </c>
      <c r="AR26" s="125">
        <f>AP26/AP30</f>
        <v>0.44444440178705802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>
        <v>0</v>
      </c>
      <c r="BO26" s="25">
        <v>0</v>
      </c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7 - 0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3</v>
      </c>
      <c r="AL27" s="123">
        <f>AI27-AJ27</f>
        <v>-2</v>
      </c>
      <c r="AM27" s="123">
        <f>AL27-AL30</f>
        <v>1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30000001.034842659</v>
      </c>
      <c r="AQ27" s="126">
        <f>VLOOKUP(AE27,db_fifarank,2,FALSE)</f>
        <v>1503.5</v>
      </c>
      <c r="AR27" s="125">
        <f>AP27/AP30</f>
        <v>0.33333330421414931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>
        <v>2</v>
      </c>
      <c r="BO27" s="27">
        <v>1</v>
      </c>
      <c r="BP27" s="113">
        <f>IF(BP26="","",BM27*1000+BN27*10+BO27)</f>
        <v>2021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1 - 3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3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10000000.000790335</v>
      </c>
      <c r="AQ28" s="126">
        <f>VLOOKUP(AE28,db_fifarank,2,FALSE)</f>
        <v>1580.67</v>
      </c>
      <c r="AR28" s="125">
        <f>AP28/AP30</f>
        <v>0.11111109758074782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>
        <v>1</v>
      </c>
      <c r="BV28" s="25">
        <v>0</v>
      </c>
      <c r="BW28" s="112">
        <f>IF(OR(BT28="",BT29="",AND(BU28="",BU29&lt;&gt;""),AND(BU29="",BU28&lt;&gt;""),AND(BV28="",BV29&lt;&gt;""),AND(BV29="",BV28&lt;&gt;"")),"",BT28*1000+BU28*10+BV28)</f>
        <v>1010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1 - 3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Portugal_draw</v>
      </c>
      <c r="T29" s="127" t="str">
        <f t="shared" si="2"/>
        <v>DR Congo_draw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0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0</v>
      </c>
      <c r="AL29" s="123">
        <f>AI29-AJ29</f>
        <v>7</v>
      </c>
      <c r="AM29" s="123">
        <f>AL29-AL30</f>
        <v>10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90000009.966708615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>
        <v>2</v>
      </c>
      <c r="BV29" s="27">
        <v>0</v>
      </c>
      <c r="BW29" s="113">
        <f>IF(BW28="","",BT29*1000+BU29*10+BV29)</f>
        <v>2020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0 - 3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8</v>
      </c>
      <c r="AL30" s="123">
        <f>MIN(AL26:AL29)</f>
        <v>-3</v>
      </c>
      <c r="AM30" s="123">
        <f>MAX(AM26:AM29)+1</f>
        <v>11</v>
      </c>
      <c r="AN30" s="123">
        <f>MAX(AN26:AN29)+1</f>
        <v>10</v>
      </c>
      <c r="AO30" s="123">
        <f>MAX(AO26:AO29)+1</f>
        <v>10</v>
      </c>
      <c r="AP30" s="123">
        <f>MAX(AP26:AP29)+1</f>
        <v>90000010.966708615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>
        <v>2</v>
      </c>
      <c r="BO30" s="25">
        <v>0</v>
      </c>
      <c r="BP30" s="116">
        <f>IF(OR(BM30="",BM31="",AND(BN30="",BN31&lt;&gt;""),AND(BN31="",BN30&lt;&gt;""),AND(BO30="",BO31&lt;&gt;""),AND(BO31="",BO30&lt;&gt;"")),"",BM30*1000+BN30*10+BO30)</f>
        <v>2020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>
        <v>1</v>
      </c>
      <c r="BO31" s="27">
        <v>0</v>
      </c>
      <c r="BP31" s="112">
        <f>IF(BP30="","",BM31*1000+BN31*10+BO31)</f>
        <v>1010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1</v>
      </c>
      <c r="AL32" s="123">
        <f>AI32-AJ32</f>
        <v>4</v>
      </c>
      <c r="AM32" s="123">
        <f>AL32-AL36</f>
        <v>8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87500009.723087415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>
        <v>2</v>
      </c>
      <c r="CC32" s="25">
        <v>5</v>
      </c>
      <c r="CD32" s="116">
        <f>IF(OR(CA32="",CA33="",AND(CB32="",CB33&lt;&gt;""),AND(CB33="",CB32&lt;&gt;""),AND(CC32="",CC33&lt;&gt;""),AND(CC33="",CC32&lt;&gt;"")),"",CA32*1000+CB32*10+CC32)</f>
        <v>1025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5 - 1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4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1.25</v>
      </c>
      <c r="AP33" s="123">
        <f>AO33*10000000+BI33*100+AM33/AM36*10+AI33/AI36*1++IF(AQ33=0,ROW(),AQ33)/2000000</f>
        <v>12500000.000647325</v>
      </c>
      <c r="AQ33" s="126">
        <f>VLOOKUP(AE33,db_fifarank,2,FALSE)</f>
        <v>1294.6500000000001</v>
      </c>
      <c r="AR33" s="125">
        <f>AP33/AP36</f>
        <v>0.14285712535746151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1</v>
      </c>
      <c r="CB33" s="64">
        <v>2</v>
      </c>
      <c r="CC33" s="27">
        <v>1</v>
      </c>
      <c r="CD33" s="112">
        <f>IF(CD32="","",CA33*1000+CB33*10+CC33)</f>
        <v>1021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3 - 1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1</v>
      </c>
      <c r="AL34" s="123">
        <f>AI34-AJ34</f>
        <v>2</v>
      </c>
      <c r="AM34" s="123">
        <f>AL34-AL36</f>
        <v>6</v>
      </c>
      <c r="AN34" s="123">
        <f>AF34*3+AG34</f>
        <v>5</v>
      </c>
      <c r="AO34" s="123">
        <f>AN34/AN36*10+BA34</f>
        <v>6.25</v>
      </c>
      <c r="AP34" s="123">
        <f>AO34*10000000+BI34*100+AM34/AM36*10+AI34/AI36*1++IF(AQ34=0,ROW(),AQ34)/2000000</f>
        <v>62500007.167433158</v>
      </c>
      <c r="AQ34" s="126">
        <f>VLOOKUP(AE34,db_fifarank,2,FALSE)</f>
        <v>1532.98</v>
      </c>
      <c r="AR34" s="125">
        <f>AP34/AP36</f>
        <v>0.71428570866382934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>
        <v>2</v>
      </c>
      <c r="BO34" s="25">
        <v>0</v>
      </c>
      <c r="BP34" s="112">
        <f>IF(OR(BM34="",BM35="",AND(BN34="",BN35&lt;&gt;""),AND(BN35="",BN34&lt;&gt;""),AND(BO34="",BO35&lt;&gt;""),AND(BO35="",BO34&lt;&gt;"")),"",BM34*1000+BN34*10+BO34)</f>
        <v>2020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0 - 2</v>
      </c>
      <c r="P35" s="34">
        <f>L35*3+M35</f>
        <v>2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2</v>
      </c>
      <c r="AH35" s="123">
        <f>COUNTIF($S$7:$T$78,"=" &amp; AE35 &amp; "_lose")</f>
        <v>1</v>
      </c>
      <c r="AI35" s="123">
        <f>SUMIF($E$7:$E$78,$AE35,$F$7:$F$78) + SUMIF($H$7:$H$78,$AE35,$G$7:$G$78)</f>
        <v>0</v>
      </c>
      <c r="AJ35" s="123">
        <f>SUMIF($E$7:$E$78,$AE35,$G$7:$G$78) + SUMIF($H$7:$H$78,$AE35,$F$7:$F$78)</f>
        <v>2</v>
      </c>
      <c r="AL35" s="123">
        <f>AI35-AJ35</f>
        <v>-2</v>
      </c>
      <c r="AM35" s="123">
        <f>AL35-AL36</f>
        <v>2</v>
      </c>
      <c r="AN35" s="123">
        <f>AF35*3+AG35</f>
        <v>2</v>
      </c>
      <c r="AO35" s="123">
        <f>AN35/AN36*10+BA35</f>
        <v>2.5</v>
      </c>
      <c r="AP35" s="123">
        <f>AO35*10000000+BI35*100+AM35/AM36*10+AI35/AI36*1++IF(AQ35=0,ROW(),AQ35)/2000000</f>
        <v>25000002.223019615</v>
      </c>
      <c r="AQ35" s="126">
        <f>VLOOKUP(AE35,db_fifarank,2,FALSE)</f>
        <v>1594.78</v>
      </c>
      <c r="AR35" s="125">
        <f>AP35/AP36</f>
        <v>0.28571427610606237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Ecuador</v>
      </c>
      <c r="BM35" s="62">
        <v>1</v>
      </c>
      <c r="BN35" s="64">
        <v>1</v>
      </c>
      <c r="BO35" s="27">
        <v>0</v>
      </c>
      <c r="BP35" s="113">
        <f>IF(BP34="","",BM35*1000+BN35*10+BO35)</f>
        <v>1010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0 - 4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3</v>
      </c>
      <c r="AI36" s="123">
        <f>MAX(AI32:AI35)+1</f>
        <v>6</v>
      </c>
      <c r="AL36" s="123">
        <f>MIN(AL32:AL35)</f>
        <v>-4</v>
      </c>
      <c r="AM36" s="123">
        <f>MAX(AM32:AM35)+1</f>
        <v>9</v>
      </c>
      <c r="AN36" s="123">
        <f>MAX(AN32:AN35)+1</f>
        <v>8</v>
      </c>
      <c r="AO36" s="123">
        <f>MAX(AO32:AO35)+1</f>
        <v>9.75</v>
      </c>
      <c r="AP36" s="123">
        <f>MAX(AP32:AP35)+1</f>
        <v>87500010.723087415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>
        <v>1</v>
      </c>
      <c r="BV36" s="25">
        <v>0</v>
      </c>
      <c r="BW36" s="116">
        <f>IF(OR(BT36="",BT37="",AND(BU36="",BU37&lt;&gt;""),AND(BU37="",BU36&lt;&gt;""),AND(BV36="",BV37&lt;&gt;""),AND(BV37="",BV36&lt;&gt;"")),"",BT36*1000+BU36*10+BV36)</f>
        <v>1010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Czech Republic</v>
      </c>
      <c r="BT37" s="62">
        <v>0</v>
      </c>
      <c r="BU37" s="64">
        <v>0</v>
      </c>
      <c r="BV37" s="27">
        <v>0</v>
      </c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>
        <v>0</v>
      </c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0</v>
      </c>
      <c r="AL38" s="123">
        <f>AI38-AJ38</f>
        <v>4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90000009.800878927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>
        <v>1</v>
      </c>
      <c r="BO38" s="25">
        <v>0</v>
      </c>
      <c r="BP38" s="116">
        <f>IF(OR(BM38="",BM39="",AND(BN38="",BN39&lt;&gt;""),AND(BN39="",BN38&lt;&gt;""),AND(BO38="",BO39&lt;&gt;""),AND(BO39="",BO38&lt;&gt;"")),"",BM38*1000+BN38*10+BO38)</f>
        <v>1010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France</v>
      </c>
      <c r="CO38" s="62">
        <v>2</v>
      </c>
      <c r="CP38" s="64">
        <v>2</v>
      </c>
      <c r="CQ38" s="27">
        <v>0</v>
      </c>
      <c r="CR38" s="111">
        <f>IF(CR37="","",CO38*1000+CP38*10+CQ38)</f>
        <v>2020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4 - 0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49805928.701801084</v>
      </c>
      <c r="AQ39" s="126">
        <f>VLOOKUP(AE39,db_fifarank,2,FALSE)</f>
        <v>1660.43</v>
      </c>
      <c r="AR39" s="125">
        <f>AP39/AP42</f>
        <v>0.55339914138448842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>
        <v>2</v>
      </c>
      <c r="BO39" s="27">
        <v>1</v>
      </c>
      <c r="BP39" s="112">
        <f>IF(BP38="","",BM39*1000+BN39*10+BO39)</f>
        <v>1021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0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3 - 2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5</v>
      </c>
      <c r="AL40" s="123">
        <f>AI40-AJ40</f>
        <v>-5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7.5738499999999996E-4</v>
      </c>
      <c r="AQ40" s="126">
        <f>VLOOKUP(AE40,db_fifarank,2,FALSE)</f>
        <v>1514.77</v>
      </c>
      <c r="AR40" s="125">
        <f>AP40/AP42</f>
        <v>8.4153878789601588E-12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2 - 2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2</v>
      </c>
      <c r="AL41" s="123">
        <f>AI41-AJ41</f>
        <v>1</v>
      </c>
      <c r="AM41" s="123">
        <f>AL41-AL42</f>
        <v>6</v>
      </c>
      <c r="AN41" s="123">
        <f>AF41*3+AG41</f>
        <v>4</v>
      </c>
      <c r="AO41" s="123">
        <f>AN41/AN42*10+BA41</f>
        <v>4.9805825242718447</v>
      </c>
      <c r="AP41" s="123">
        <f>AO41*10000000+BI41*100+AM41/AM42*10+AI41/AI42*1++IF(AQ41=0,ROW(),AQ41)/2000000</f>
        <v>49805929.901712395</v>
      </c>
      <c r="AQ41" s="126">
        <f>VLOOKUP(AE41,db_fifarank,2,FALSE)</f>
        <v>1483.05</v>
      </c>
      <c r="AR41" s="125">
        <f>AP41/AP42</f>
        <v>0.55339915471683476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5</v>
      </c>
      <c r="AL42" s="123">
        <f>MIN(AL38:AL41)</f>
        <v>-5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90000010.800878927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3</v>
      </c>
      <c r="BN42" s="63">
        <v>3</v>
      </c>
      <c r="BO42" s="25">
        <v>0</v>
      </c>
      <c r="BP42" s="112">
        <f>IF(OR(BM42="",BM43="",AND(BN42="",BN43&lt;&gt;""),AND(BN43="",BN42&lt;&gt;""),AND(BO42="",BO43&lt;&gt;""),AND(BO43="",BO42&lt;&gt;"")),"",BM42*1000+BN42*10+BO42)</f>
        <v>3030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0</v>
      </c>
      <c r="BN43" s="64">
        <v>0</v>
      </c>
      <c r="BO43" s="27">
        <v>0</v>
      </c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3</v>
      </c>
      <c r="AJ44" s="123">
        <f>SUMIF($E$7:$E$78,$AE44,$G$7:$G$78) + SUMIF($H$7:$H$78,$AE44,$F$7:$F$78)</f>
        <v>0</v>
      </c>
      <c r="AL44" s="123">
        <f>AI44-AJ44</f>
        <v>3</v>
      </c>
      <c r="AM44" s="123">
        <f>AL44-AL48</f>
        <v>5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90000009.08420068</v>
      </c>
      <c r="AQ44" s="126">
        <f>VLOOKUP(AE44,db_fifarank,2,FALSE)</f>
        <v>1734.71</v>
      </c>
      <c r="AR44" s="125">
        <f>AP44/AP48</f>
        <v>0.99999998888889008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>
        <v>2</v>
      </c>
      <c r="BV44" s="25">
        <v>5</v>
      </c>
      <c r="BW44" s="112">
        <f>IF(OR(BT44="",BT45="",AND(BU44="",BU45&lt;&gt;""),AND(BU45="",BU44&lt;&gt;""),AND(BV44="",BV45&lt;&gt;""),AND(BV45="",BV44&lt;&gt;"")),"",BT44*1000+BU44*10+BV44)</f>
        <v>1025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3 - 0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1</v>
      </c>
      <c r="AL45" s="123">
        <f>AI45-AJ45</f>
        <v>1</v>
      </c>
      <c r="AM45" s="123">
        <f>AL45-AL48</f>
        <v>3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60000005.500781618</v>
      </c>
      <c r="AQ45" s="126">
        <f>VLOOKUP(AE45,db_fifarank,2,FALSE)</f>
        <v>1563.24</v>
      </c>
      <c r="AR45" s="125">
        <f>AP45/AP48</f>
        <v>0.66666665308868112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France</v>
      </c>
      <c r="BT45" s="62">
        <v>1</v>
      </c>
      <c r="BU45" s="64">
        <v>2</v>
      </c>
      <c r="BV45" s="27">
        <v>6</v>
      </c>
      <c r="BW45" s="113">
        <f>IF(BW44="","",BT45*1000+BU45*10+BV45)</f>
        <v>1026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2</v>
      </c>
      <c r="AL46" s="123">
        <f>AI46-AJ46</f>
        <v>-2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19804019.608650789</v>
      </c>
      <c r="AQ46" s="126">
        <f>VLOOKUP(AE46,db_fifarank,2,FALSE)</f>
        <v>1615.3</v>
      </c>
      <c r="AR46" s="125">
        <f>AP46/AP48</f>
        <v>0.22004463766307228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Ivory Coast</v>
      </c>
      <c r="BM46" s="61">
        <v>0</v>
      </c>
      <c r="BN46" s="63">
        <v>0</v>
      </c>
      <c r="BO46" s="25">
        <v>0</v>
      </c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0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0 - 2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2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19804019.608483922</v>
      </c>
      <c r="AQ47" s="126">
        <f>VLOOKUP(AE47,db_fifarank,2,FALSE)</f>
        <v>1281.57</v>
      </c>
      <c r="AR47" s="125">
        <f>AP47/AP48</f>
        <v>0.22004463766121818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France</v>
      </c>
      <c r="BM47" s="62">
        <v>1</v>
      </c>
      <c r="BN47" s="64">
        <v>1</v>
      </c>
      <c r="BO47" s="27">
        <v>0</v>
      </c>
      <c r="BP47" s="112">
        <f>IF(BP46="","",BM47*1000+BN47*10+BO47)</f>
        <v>1010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1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0 - 2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4</v>
      </c>
      <c r="AL48" s="123">
        <f>MIN(AL44:AL47)</f>
        <v>-2</v>
      </c>
      <c r="AM48" s="123">
        <f>MAX(AM44:AM47)+1</f>
        <v>6</v>
      </c>
      <c r="AN48" s="123">
        <f>MAX(AN44:AN47)+1</f>
        <v>10</v>
      </c>
      <c r="AO48" s="123">
        <f>MAX(AO44:AO47)+1</f>
        <v>10</v>
      </c>
      <c r="AP48" s="123">
        <f>MAX(AP44:AP47)+1</f>
        <v>90000010.08420068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France</v>
      </c>
      <c r="CA48" s="61">
        <v>2</v>
      </c>
      <c r="CB48" s="63">
        <v>2</v>
      </c>
      <c r="CC48" s="25">
        <v>0</v>
      </c>
      <c r="CD48" s="112">
        <f>IF(OR(CA48="",CA49="",AND(CB48="",CB49&lt;&gt;""),AND(CB49="",CB48&lt;&gt;""),AND(CC48="",CC49&lt;&gt;""),AND(CC49="",CC48&lt;&gt;"")),"",CA48*1000+CB48*10+CC48)</f>
        <v>2020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1</v>
      </c>
      <c r="CP48" s="63">
        <v>2</v>
      </c>
      <c r="CQ48" s="25">
        <v>0</v>
      </c>
      <c r="CR48" s="111">
        <f>IF(OR(CO48="",CO49="",AND(CP48="",CP49&lt;&gt;""),AND(CP49="",CP48&lt;&gt;""),AND(CQ48="",CQ49&lt;&gt;""),AND(CQ49="",CQ48&lt;&gt;"")),"",CO48*1000+CP48*10+CQ48)</f>
        <v>1020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>
        <v>0</v>
      </c>
      <c r="CC49" s="27">
        <v>0</v>
      </c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>
        <v>1</v>
      </c>
      <c r="CQ49" s="27">
        <v>0</v>
      </c>
      <c r="CR49" s="111">
        <f>IF(CR48="","",CO49*1000+CP49*10+CQ49)</f>
        <v>1010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0</v>
      </c>
      <c r="AL50" s="123">
        <f>AI50-AJ50</f>
        <v>5</v>
      </c>
      <c r="AM50" s="123">
        <f>AL50-AL54</f>
        <v>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90000009.834271535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>
        <v>2</v>
      </c>
      <c r="BO50" s="25">
        <v>0</v>
      </c>
      <c r="BP50" s="112">
        <f>IF(OR(BM50="",BM51="",AND(BN50="",BN51&lt;&gt;""),AND(BN51="",BN50&lt;&gt;""),AND(BO50="",BO51&lt;&gt;""),AND(BO51="",BO50&lt;&gt;"")),"",BM50*1000+BN50*10+BO50)</f>
        <v>2020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5 - 0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4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0.22004463582780967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Haiti</v>
      </c>
      <c r="BM51" s="62">
        <v>0</v>
      </c>
      <c r="BN51" s="64">
        <v>0</v>
      </c>
      <c r="BO51" s="27">
        <v>0</v>
      </c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3 - 1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3</v>
      </c>
      <c r="AL52" s="123">
        <f>AI52-AJ52</f>
        <v>-3</v>
      </c>
      <c r="AM52" s="123">
        <f>AL52-AL54</f>
        <v>1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19804020.608553853</v>
      </c>
      <c r="AQ52" s="126">
        <f>VLOOKUP(AE52,db_fifarank,2,FALSE)</f>
        <v>1421.43</v>
      </c>
      <c r="AR52" s="125">
        <f>AP52/AP54</f>
        <v>0.22004464693922665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>
        <v>2</v>
      </c>
      <c r="BV52" s="25">
        <v>4</v>
      </c>
      <c r="BW52" s="116">
        <f>IF(OR(BT52="",BT53="",AND(BU52="",BU53&lt;&gt;""),AND(BU53="",BU52&lt;&gt;""),AND(BV52="",BV53&lt;&gt;""),AND(BV53="",BV52&lt;&gt;"")),"",BT52*1000+BU52*10+BV52)</f>
        <v>1024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1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0 - 3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Portugal_draw</v>
      </c>
      <c r="T53" s="127" t="str">
        <f t="shared" si="20"/>
        <v>Uzbekistan_draw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0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1</v>
      </c>
      <c r="AL53" s="123">
        <f>AI53-AJ53</f>
        <v>2</v>
      </c>
      <c r="AM53" s="123">
        <f>AL53-AL54</f>
        <v>6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60000006.500836536</v>
      </c>
      <c r="AQ53" s="126">
        <f>VLOOKUP(AE53,db_fifarank,2,FALSE)</f>
        <v>1673.07</v>
      </c>
      <c r="AR53" s="125">
        <f>AP53/AP54</f>
        <v>0.66666665864432151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2</v>
      </c>
      <c r="BV53" s="27">
        <v>2</v>
      </c>
      <c r="BW53" s="112">
        <f>IF(BW52="","",BT53*1000+BU53*10+BV53)</f>
        <v>1022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0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0 - 4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6</v>
      </c>
      <c r="AL54" s="123">
        <f>MIN(AL50:AL53)</f>
        <v>-4</v>
      </c>
      <c r="AM54" s="123">
        <f>MAX(AM50:AM53)+1</f>
        <v>10</v>
      </c>
      <c r="AN54" s="123">
        <f>MAX(AN50:AN53)+1</f>
        <v>10</v>
      </c>
      <c r="AO54" s="123">
        <f>MAX(AO50:AO53)+1</f>
        <v>10</v>
      </c>
      <c r="AP54" s="123">
        <f>MAX(AP50:AP53)+1</f>
        <v>90000010.834271535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1</v>
      </c>
      <c r="BN54" s="63">
        <v>1</v>
      </c>
      <c r="BO54" s="25">
        <v>0</v>
      </c>
      <c r="BP54" s="116">
        <f>IF(OR(BM54="",BM55="",AND(BN54="",BN55&lt;&gt;""),AND(BN55="",BN54&lt;&gt;""),AND(BO54="",BO55&lt;&gt;""),AND(BO55="",BO54&lt;&gt;"")),"",BM54*1000+BN54*10+BO54)</f>
        <v>1010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>
        <v>0</v>
      </c>
      <c r="BO55" s="27">
        <v>0</v>
      </c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France</v>
      </c>
      <c r="CH55" s="61">
        <v>2</v>
      </c>
      <c r="CI55" s="63">
        <v>2</v>
      </c>
      <c r="CJ55" s="25">
        <v>0</v>
      </c>
      <c r="CK55" s="116">
        <f>IF(OR(CH55="",CH56="",AND(CI55="",CI56&lt;&gt;""),AND(CI56="",CI55&lt;&gt;""),AND(CJ55="",CJ56&lt;&gt;""),AND(CJ56="",CJ55&lt;&gt;"")),"",CH55*1000+CI55*10+CJ55)</f>
        <v>2020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2</v>
      </c>
      <c r="AH56" s="123">
        <f>COUNTIF($S$7:$T$78,"=" &amp; AE56 &amp; "_lose")</f>
        <v>0</v>
      </c>
      <c r="AI56" s="123">
        <f>SUMIF($E$7:$E$78,$AE56,$F$7:$F$78) + SUMIF($H$7:$H$78,$AE56,$G$7:$G$78)</f>
        <v>3</v>
      </c>
      <c r="AJ56" s="123">
        <f>SUMIF($E$7:$E$78,$AE56,$G$7:$G$78) + SUMIF($H$7:$H$78,$AE56,$F$7:$F$78)</f>
        <v>2</v>
      </c>
      <c r="AL56" s="123">
        <f>AI56-AJ56</f>
        <v>1</v>
      </c>
      <c r="AM56" s="123">
        <f>AL56-AL60</f>
        <v>4</v>
      </c>
      <c r="AN56" s="123">
        <f>AF56*3+AG56</f>
        <v>5</v>
      </c>
      <c r="AO56" s="123">
        <f>AN56/AN60*10+BA56</f>
        <v>6.25</v>
      </c>
      <c r="AP56" s="123">
        <f>AO56*10000000+BI56*100+AM56/AM60*10+AI56/AI60*1++IF(AQ56=0,ROW(),AQ56)/2000000</f>
        <v>62500007.417605326</v>
      </c>
      <c r="AQ56" s="126">
        <f>VLOOKUP(AE56,db_fifarank,2,FALSE)</f>
        <v>1877.32</v>
      </c>
      <c r="AR56" s="125">
        <f>AP56/AP60</f>
        <v>0.71428571673852737</v>
      </c>
      <c r="AS56" s="125" t="str">
        <f>IF(SUM(AF56:AH59)=12,J57,"1I")</f>
        <v>Senegal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>
        <v>1</v>
      </c>
      <c r="CJ56" s="27">
        <v>0</v>
      </c>
      <c r="CK56" s="112">
        <f>IF(CK55="","",CH56*1000+CI56*10+CJ56)</f>
        <v>1010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3</v>
      </c>
      <c r="G57" s="20">
        <v>0</v>
      </c>
      <c r="H57" s="80" t="str">
        <f>AE14</f>
        <v>Canada</v>
      </c>
      <c r="I57" s="69"/>
      <c r="J57" s="30" t="str">
        <f>VLOOKUP(1,AD56:AN59,2,FALSE)</f>
        <v>Senegal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3 - 1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1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1</v>
      </c>
      <c r="AL57" s="123">
        <f>AI57-AJ57</f>
        <v>2</v>
      </c>
      <c r="AM57" s="123">
        <f>AL57-AL60</f>
        <v>5</v>
      </c>
      <c r="AN57" s="123">
        <f>AF57*3+AG57</f>
        <v>7</v>
      </c>
      <c r="AO57" s="123">
        <f>AN57/AN60*10+BA57</f>
        <v>8.75</v>
      </c>
      <c r="AP57" s="123">
        <f>AO57*10000000+BI57*100+AM57/AM60*10+AI57/AI60*1++IF(AQ57=0,ROW(),AQ57)/2000000</f>
        <v>87500009.084177822</v>
      </c>
      <c r="AQ57" s="126">
        <f>VLOOKUP(AE57,db_fifarank,2,FALSE)</f>
        <v>1688.99</v>
      </c>
      <c r="AR57" s="125">
        <f>AP57/AP60</f>
        <v>0.99999998857142991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3 - 2</v>
      </c>
      <c r="P58" s="34">
        <f>L58*3+M58</f>
        <v>5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3</v>
      </c>
      <c r="AL58" s="123">
        <f>AI58-AJ58</f>
        <v>-3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8.2693704755451171E-12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>
        <v>2</v>
      </c>
      <c r="BO58" s="25">
        <v>0</v>
      </c>
      <c r="BP58" s="112">
        <f>IF(OR(BM58="",BM59="",AND(BN58="",BN59&lt;&gt;""),AND(BN59="",BN58&lt;&gt;""),AND(BO58="",BO59&lt;&gt;""),AND(BO59="",BO58&lt;&gt;"")),"",BM58*1000+BN58*10+BO58)</f>
        <v>2020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2 - 2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2</v>
      </c>
      <c r="AL59" s="123">
        <f>AI59-AJ59</f>
        <v>0</v>
      </c>
      <c r="AM59" s="123">
        <f>AL59-AL60</f>
        <v>3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50000005.500775471</v>
      </c>
      <c r="AQ59" s="126">
        <f>VLOOKUP(AE59,db_fifarank,2,FALSE)</f>
        <v>1550.94</v>
      </c>
      <c r="AR59" s="125">
        <f>AP59/AP60</f>
        <v>0.57142856843872203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>
        <v>1</v>
      </c>
      <c r="BO59" s="27">
        <v>0</v>
      </c>
      <c r="BP59" s="113">
        <f>IF(BP58="","",BM59*1000+BN59*10+BO59)</f>
        <v>1010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0 - 3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4</v>
      </c>
      <c r="AL60" s="123">
        <f>MIN(AL56:AL59)</f>
        <v>-3</v>
      </c>
      <c r="AM60" s="123">
        <f>MAX(AM56:AM59)+1</f>
        <v>6</v>
      </c>
      <c r="AN60" s="123">
        <f>MAX(AN56:AN59)+1</f>
        <v>8</v>
      </c>
      <c r="AO60" s="123">
        <f>MAX(AO56:AO59)+1</f>
        <v>9.75</v>
      </c>
      <c r="AP60" s="123">
        <f>MAX(AP56:AP59)+1</f>
        <v>87500010.084177822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>
        <v>2</v>
      </c>
      <c r="BV60" s="25">
        <v>0</v>
      </c>
      <c r="BW60" s="112">
        <f>IF(OR(BT60="",BT61="",AND(BU60="",BU61&lt;&gt;""),AND(BU61="",BU60&lt;&gt;""),AND(BV60="",BV61&lt;&gt;""),AND(BV61="",BV60&lt;&gt;"")),"",BT60*1000+BU60*10+BV60)</f>
        <v>2020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1</v>
      </c>
      <c r="BU61" s="64">
        <v>1</v>
      </c>
      <c r="BV61" s="27">
        <v>0</v>
      </c>
      <c r="BW61" s="113">
        <f>IF(BW60="","",BT61*1000+BU61*10+BV61)</f>
        <v>1010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1</v>
      </c>
      <c r="AL62" s="123">
        <f>AI62-AJ62</f>
        <v>3</v>
      </c>
      <c r="AM62" s="123">
        <f>AL62-AL66</f>
        <v>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90000008.800937414</v>
      </c>
      <c r="AQ62" s="126">
        <f>VLOOKUP(AE62,db_fifarank,2,FALSE)</f>
        <v>1874.82</v>
      </c>
      <c r="AR62" s="125">
        <f>AP62/AP66</f>
        <v>0.99999998888889008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>
        <v>0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4 - 1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1</v>
      </c>
      <c r="AL63" s="123">
        <f>AI63-AJ63</f>
        <v>-1</v>
      </c>
      <c r="AM63" s="123">
        <f>AL63-AL66</f>
        <v>0</v>
      </c>
      <c r="AN63" s="123">
        <f>AF63*3+AG63</f>
        <v>2</v>
      </c>
      <c r="AO63" s="123">
        <f>AN63/AN66*10+BA63</f>
        <v>2.9852216748768474</v>
      </c>
      <c r="AP63" s="123">
        <f>AO63*10000000+BI63*100+AM63/AM66*10+AI63/AI66*1++IF(AQ63=0,ROW(),AQ63)/2000000</f>
        <v>29852315.271718092</v>
      </c>
      <c r="AQ63" s="126">
        <f>VLOOKUP(AE63,db_fifarank,2,FALSE)</f>
        <v>1564.26</v>
      </c>
      <c r="AR63" s="125">
        <f>AP63/AP66</f>
        <v>0.33169235578691192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2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66.666666666666657</v>
      </c>
      <c r="BA63" s="126">
        <f>AZ63/AZ66</f>
        <v>0.98522167487684731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2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66.666666666666657</v>
      </c>
      <c r="BI63" s="126">
        <f>BH63/BH66</f>
        <v>0.98522167487684731</v>
      </c>
      <c r="BK63" s="132"/>
      <c r="BL63" s="26" t="str">
        <f>AS45</f>
        <v>Egypt</v>
      </c>
      <c r="BM63" s="62">
        <v>0</v>
      </c>
      <c r="BN63" s="64">
        <v>0</v>
      </c>
      <c r="BO63" s="27">
        <v>5</v>
      </c>
      <c r="BP63" s="112">
        <f>IF(BP62="","",BM63*1000+BN63*10+BO63)</f>
        <v>5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0</v>
      </c>
      <c r="M64" s="23">
        <f>VLOOKUP(2,AD62:AN65,4,FALSE)</f>
        <v>2</v>
      </c>
      <c r="N64" s="23">
        <f>VLOOKUP(2,AD62:AN65,5,FALSE)</f>
        <v>1</v>
      </c>
      <c r="O64" s="23" t="str">
        <f>VLOOKUP(2,AD62:AN65,6,FALSE) &amp; " - " &amp; VLOOKUP(2,AD62:AN65,7,FALSE)</f>
        <v>1 - 2</v>
      </c>
      <c r="P64" s="34">
        <f>L64*3+M64</f>
        <v>2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1</v>
      </c>
      <c r="AJ64" s="123">
        <f>SUMIF($E$7:$E$78,$AE64,$G$7:$G$78) + SUMIF($H$7:$H$78,$AE64,$F$7:$F$78)</f>
        <v>2</v>
      </c>
      <c r="AL64" s="123">
        <f>AI64-AJ64</f>
        <v>-1</v>
      </c>
      <c r="AM64" s="123">
        <f>AL64-AL66</f>
        <v>0</v>
      </c>
      <c r="AN64" s="123">
        <f>AF64*3+AG64</f>
        <v>2</v>
      </c>
      <c r="AO64" s="123">
        <f>AN64/AN66*10+BA64</f>
        <v>2.9852216748768474</v>
      </c>
      <c r="AP64" s="123">
        <f>AO64*10000000+BI64*100+AM64/AM66*10+AI64/AI66*1++IF(AQ64=0,ROW(),AQ64)/2000000</f>
        <v>29852315.471732687</v>
      </c>
      <c r="AQ64" s="126">
        <f>VLOOKUP(AE64,db_fifarank,2,FALSE)</f>
        <v>1593.45</v>
      </c>
      <c r="AR64" s="125">
        <f>AP64/AP66</f>
        <v>0.33169235800929608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2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66.666666666666657</v>
      </c>
      <c r="BA64" s="126">
        <f>AZ64/AZ66</f>
        <v>0.98522167487684731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2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66.666666666666657</v>
      </c>
      <c r="BI64" s="126">
        <f>BH64/BH66</f>
        <v>0.98522167487684731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>
        <v>4</v>
      </c>
      <c r="CD64" s="116">
        <f>IF(OR(CA64="",CA65="",AND(CB64="",CB65&lt;&gt;""),AND(CB65="",CB64&lt;&gt;""),AND(CC64="",CC65&lt;&gt;""),AND(CC65="",CC64&lt;&gt;"")),"",CA64*1000+CB64*10+CC64)</f>
        <v>1014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0 - 1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1</v>
      </c>
      <c r="AL65" s="123">
        <f>AI65-AJ65</f>
        <v>-1</v>
      </c>
      <c r="AM65" s="123">
        <f>AL65-AL66</f>
        <v>0</v>
      </c>
      <c r="AN65" s="123">
        <f>AF65*3+AG65</f>
        <v>2</v>
      </c>
      <c r="AO65" s="123">
        <f>AN65/AN66*10+BA65</f>
        <v>2.9852216748768474</v>
      </c>
      <c r="AP65" s="123">
        <f>AO65*10000000+BI65*100+AM65/AM66*10+AI65/AI66*1++IF(AQ65=0,ROW(),AQ65)/2000000</f>
        <v>29852315.271631688</v>
      </c>
      <c r="AQ65" s="126">
        <f>VLOOKUP(AE65,db_fifarank,2,FALSE)</f>
        <v>1391.45</v>
      </c>
      <c r="AR65" s="125">
        <f>AP65/AP66</f>
        <v>0.33169235578595185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2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66.666666666666657</v>
      </c>
      <c r="BA65" s="126">
        <f>AZ65/AZ66</f>
        <v>0.98522167487684731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2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66.666666666666657</v>
      </c>
      <c r="BI65" s="126">
        <f>BH65/BH66</f>
        <v>0.98522167487684731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Switzerland</v>
      </c>
      <c r="CA65" s="62">
        <v>1</v>
      </c>
      <c r="CB65" s="64">
        <v>1</v>
      </c>
      <c r="CC65" s="27">
        <v>3</v>
      </c>
      <c r="CD65" s="112">
        <f>IF(CD64="","",CA65*1000+CB65*10+CC65)</f>
        <v>1013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0 - 1</v>
      </c>
      <c r="P66" s="37">
        <f>L66*3+M66</f>
        <v>2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2</v>
      </c>
      <c r="AI66" s="123">
        <f>MAX(AI62:AI65)+1</f>
        <v>5</v>
      </c>
      <c r="AL66" s="123">
        <f>MIN(AL62:AL65)</f>
        <v>-1</v>
      </c>
      <c r="AM66" s="123">
        <f>MAX(AM62:AM65)+1</f>
        <v>5</v>
      </c>
      <c r="AN66" s="123">
        <f>MAX(AN62:AN65)+1</f>
        <v>10</v>
      </c>
      <c r="AO66" s="123">
        <f>MAX(AO62:AO65)+1</f>
        <v>10</v>
      </c>
      <c r="AP66" s="123">
        <f>MAX(AP62:AP65)+1</f>
        <v>90000009.800937414</v>
      </c>
      <c r="AT66" s="126">
        <f>MAX(AT62:AT65)-MIN(AT62:AT65)+1</f>
        <v>1</v>
      </c>
      <c r="AU66" s="126">
        <f>MAX(AU62:AU65)-MIN(AU62:AU65)+1</f>
        <v>3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67.666666666666657</v>
      </c>
      <c r="BB66" s="126">
        <f>MAX(BB62:BB65)-MIN(BB62:BB65)+1</f>
        <v>1</v>
      </c>
      <c r="BC66" s="126">
        <f>MAX(BC62:BC65)-MIN(BC62:BC65)+1</f>
        <v>3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67.666666666666657</v>
      </c>
      <c r="BK66" s="131">
        <v>85</v>
      </c>
      <c r="BL66" s="24" t="str">
        <f>AS14</f>
        <v>Switzerland</v>
      </c>
      <c r="BM66" s="61">
        <v>2</v>
      </c>
      <c r="BN66" s="63">
        <v>2</v>
      </c>
      <c r="BO66" s="25">
        <v>0</v>
      </c>
      <c r="BP66" s="112">
        <f>IF(OR(BM66="",BM67="",AND(BN66="",BN67&lt;&gt;""),AND(BN67="",BN66&lt;&gt;""),AND(BO66="",BO67&lt;&gt;""),AND(BO67="",BO66&lt;&gt;"")),"",BM66*1000+BN66*10+BO66)</f>
        <v>2020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>
        <v>1</v>
      </c>
      <c r="BO67" s="27">
        <v>0</v>
      </c>
      <c r="BP67" s="113">
        <f>IF(BP66="","",BM67*1000+BN67*10+BO67)</f>
        <v>1010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1</v>
      </c>
      <c r="AG68" s="123">
        <f>COUNTIF($S$7:$T$78,"=" &amp; AE68 &amp; "_draw")</f>
        <v>2</v>
      </c>
      <c r="AH68" s="123">
        <f>COUNTIF($S$7:$T$78,"=" &amp; AE68 &amp; "_lose")</f>
        <v>0</v>
      </c>
      <c r="AI68" s="123">
        <f>SUMIF($E$7:$E$78,$AE68,$F$7:$F$78) + SUMIF($H$7:$H$78,$AE68,$G$7:$G$78)</f>
        <v>3</v>
      </c>
      <c r="AJ68" s="123">
        <f>SUMIF($E$7:$E$78,$AE68,$G$7:$G$78) + SUMIF($H$7:$H$78,$AE68,$F$7:$F$78)</f>
        <v>2</v>
      </c>
      <c r="AL68" s="123">
        <f>AI68-AJ68</f>
        <v>1</v>
      </c>
      <c r="AM68" s="123">
        <f>AL68-AL72</f>
        <v>2</v>
      </c>
      <c r="AN68" s="123">
        <f>AF68*3+AG68</f>
        <v>5</v>
      </c>
      <c r="AO68" s="123">
        <f>AN68/AN72*10+BA68</f>
        <v>8.3333333333333339</v>
      </c>
      <c r="AP68" s="123">
        <f>AO68*10000000+BI68*100+AM68/AM72*10+AI68/AI72*1++IF(AQ68=0,ROW(),AQ68)/2000000</f>
        <v>83333340.750881925</v>
      </c>
      <c r="AQ68" s="126">
        <f>VLOOKUP(AE68,db_fifarank,2,FALSE)</f>
        <v>1763.83</v>
      </c>
      <c r="AR68" s="125">
        <f>AP68/AP72</f>
        <v>0.99999998800000123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2</v>
      </c>
      <c r="BU68" s="63">
        <v>2</v>
      </c>
      <c r="BV68" s="25">
        <v>0</v>
      </c>
      <c r="BW68" s="116">
        <f>IF(OR(BT68="",BT69="",AND(BU68="",BU69&lt;&gt;""),AND(BU69="",BU68&lt;&gt;""),AND(BV68="",BV69&lt;&gt;""),AND(BV69="",BV68&lt;&gt;"")),"",BT68*1000+BU68*10+BV68)</f>
        <v>2020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1</v>
      </c>
      <c r="M69" s="31">
        <f>VLOOKUP(1,AD68:AN71,4,FALSE)</f>
        <v>2</v>
      </c>
      <c r="N69" s="31">
        <f>VLOOKUP(1,AD68:AN71,5,FALSE)</f>
        <v>0</v>
      </c>
      <c r="O69" s="31" t="str">
        <f>VLOOKUP(1,AD68:AN71,6,FALSE) &amp; " - " &amp; VLOOKUP(1,AD68:AN71,7,FALSE)</f>
        <v>3 - 2</v>
      </c>
      <c r="P69" s="32">
        <f>L69*3+M69</f>
        <v>5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3</v>
      </c>
      <c r="AH69" s="123">
        <f>COUNTIF($S$7:$T$78,"=" &amp; AE69 &amp; "_lose")</f>
        <v>0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1</v>
      </c>
      <c r="AL69" s="123">
        <f>AI69-AJ69</f>
        <v>0</v>
      </c>
      <c r="AM69" s="123">
        <f>AL69-AL72</f>
        <v>1</v>
      </c>
      <c r="AN69" s="123">
        <f>AF69*3+AG69</f>
        <v>3</v>
      </c>
      <c r="AO69" s="123">
        <f>AN69/AN72*10+BA69</f>
        <v>5</v>
      </c>
      <c r="AP69" s="123">
        <f>AO69*10000000+BI69*100+AM69/AM72*10+AI69/AI72*1++IF(AQ69=0,ROW(),AQ69)/2000000</f>
        <v>50000003.584072508</v>
      </c>
      <c r="AQ69" s="126">
        <f>VLOOKUP(AE69,db_fifarank,2,FALSE)</f>
        <v>1478.35</v>
      </c>
      <c r="AR69" s="125">
        <f>AP69/AP72</f>
        <v>0.59999998240252206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Norway</v>
      </c>
      <c r="BT69" s="62">
        <v>1</v>
      </c>
      <c r="BU69" s="64">
        <v>1</v>
      </c>
      <c r="BV69" s="27">
        <v>0</v>
      </c>
      <c r="BW69" s="112">
        <f>IF(BW68="","",BT69*1000+BU69*10+BV69)</f>
        <v>1010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1 - 1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2</v>
      </c>
      <c r="AH70" s="123">
        <f>COUNTIF($S$7:$T$78,"=" &amp; AE70 &amp; "_lose")</f>
        <v>1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2</v>
      </c>
      <c r="AL70" s="123">
        <f>AI70-AJ70</f>
        <v>-1</v>
      </c>
      <c r="AM70" s="123">
        <f>AL70-AL72</f>
        <v>0</v>
      </c>
      <c r="AN70" s="123">
        <f>AF70*3+AG70</f>
        <v>2</v>
      </c>
      <c r="AO70" s="123">
        <f>AN70/AN72*10+BA70</f>
        <v>3.333333333333333</v>
      </c>
      <c r="AP70" s="123">
        <f>AO70*10000000+BI70*100+AM70/AM72*10+AI70/AI72*1++IF(AQ70=0,ROW(),AQ70)/2000000</f>
        <v>33333333.584066004</v>
      </c>
      <c r="AQ70" s="126">
        <f>VLOOKUP(AE70,db_fifarank,2,FALSE)</f>
        <v>1465.34</v>
      </c>
      <c r="AR70" s="125">
        <f>AP70/AP72</f>
        <v>0.39999996260456255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>
        <v>1</v>
      </c>
      <c r="BO70" s="25">
        <v>3</v>
      </c>
      <c r="BP70" s="116">
        <f>IF(OR(BM70="",BM71="",AND(BN70="",BN71&lt;&gt;""),AND(BN71="",BN70&lt;&gt;""),AND(BO70="",BO71&lt;&gt;""),AND(BO71="",BO70&lt;&gt;"")),"",BM70*1000+BN70*10+BO70)</f>
        <v>1013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3</v>
      </c>
      <c r="N71" s="23">
        <f>VLOOKUP(3,AD68:AN71,5,FALSE)</f>
        <v>0</v>
      </c>
      <c r="O71" s="23" t="str">
        <f>VLOOKUP(3,AD68:AN71,6,FALSE) &amp; " - " &amp; VLOOKUP(3,AD68:AN71,7,FALSE)</f>
        <v>1 - 1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1</v>
      </c>
      <c r="AJ71" s="123">
        <f>SUMIF($E$7:$E$78,$AE71,$G$7:$G$78) + SUMIF($H$7:$H$78,$AE71,$F$7:$F$78)</f>
        <v>1</v>
      </c>
      <c r="AL71" s="123">
        <f>AI71-AJ71</f>
        <v>0</v>
      </c>
      <c r="AM71" s="123">
        <f>AL71-AL72</f>
        <v>1</v>
      </c>
      <c r="AN71" s="123">
        <f>AF71*3+AG71</f>
        <v>4</v>
      </c>
      <c r="AO71" s="123">
        <f>AN71/AN72*10+BA71</f>
        <v>6.6666666666666661</v>
      </c>
      <c r="AP71" s="123">
        <f>AO71*10000000+BI71*100+AM71/AM72*10+AI71/AI72*1++IF(AQ71=0,ROW(),AQ71)/2000000</f>
        <v>66666670.250846542</v>
      </c>
      <c r="AQ71" s="126">
        <f>VLOOKUP(AE71,db_fifarank,2,FALSE)</f>
        <v>1693.09</v>
      </c>
      <c r="AR71" s="125">
        <f>AP71/AP72</f>
        <v>0.79999996220169589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1</v>
      </c>
      <c r="BN71" s="64">
        <v>1</v>
      </c>
      <c r="BO71" s="27">
        <v>4</v>
      </c>
      <c r="BP71" s="112">
        <f>IF(BP70="","",BM71*1000+BN71*10+BO71)</f>
        <v>1014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2</v>
      </c>
      <c r="N72" s="36">
        <f>VLOOKUP(4,AD68:AN71,5,FALSE)</f>
        <v>1</v>
      </c>
      <c r="O72" s="36" t="str">
        <f>VLOOKUP(4,AD68:AN71,6,FALSE) &amp; " - " &amp; VLOOKUP(4,AD68:AN71,7,FALSE)</f>
        <v>1 - 2</v>
      </c>
      <c r="P72" s="37">
        <f>L72*3+M72</f>
        <v>2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2</v>
      </c>
      <c r="AG72" s="123">
        <f t="shared" si="35"/>
        <v>3</v>
      </c>
      <c r="AH72" s="123">
        <f t="shared" si="35"/>
        <v>2</v>
      </c>
      <c r="AI72" s="123">
        <f>MAX(AI68:AI71)+1</f>
        <v>4</v>
      </c>
      <c r="AL72" s="123">
        <f>MIN(AL68:AL71)</f>
        <v>-1</v>
      </c>
      <c r="AM72" s="123">
        <f>MAX(AM68:AM71)+1</f>
        <v>3</v>
      </c>
      <c r="AN72" s="123">
        <f>MAX(AN68:AN71)+1</f>
        <v>6</v>
      </c>
      <c r="AO72" s="123">
        <f>MAX(AO68:AO71)+1</f>
        <v>9.3333333333333339</v>
      </c>
      <c r="AP72" s="123">
        <f>MAX(AP68:AP71)+1</f>
        <v>83333341.750881925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3</v>
      </c>
      <c r="AJ74" s="123">
        <f>SUMIF($E$7:$E$78,$AE74,$G$7:$G$78) + SUMIF($H$7:$H$78,$AE74,$F$7:$F$78)</f>
        <v>1</v>
      </c>
      <c r="AL74" s="123">
        <f>AI74-AJ74</f>
        <v>2</v>
      </c>
      <c r="AM74" s="123">
        <f>AL74-AL78</f>
        <v>4</v>
      </c>
      <c r="AN74" s="123">
        <f>AF74*3+AG74</f>
        <v>7</v>
      </c>
      <c r="AO74" s="123">
        <f>AN74/AN78*10+BA74</f>
        <v>9.7401477832512313</v>
      </c>
      <c r="AP74" s="123">
        <f>AO74*10000000+BI74*100+AM74/AM78*10+AI74/AI78*1++IF(AQ74=0,ROW(),AQ74)/2000000</f>
        <v>97401585.598203629</v>
      </c>
      <c r="AQ74" s="126">
        <f>VLOOKUP(AE74,db_fifarank,2,FALSE)</f>
        <v>1825.97</v>
      </c>
      <c r="AR74" s="125">
        <f>AP74/AP78</f>
        <v>0.99999998973322679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100.5</v>
      </c>
      <c r="BA74" s="126">
        <f>AZ74/AZ78</f>
        <v>0.99014778325123154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100.5</v>
      </c>
      <c r="BI74" s="126">
        <f>BH74/BH78</f>
        <v>0.99014778325123154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3 - 1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0</v>
      </c>
      <c r="W75" s="123">
        <f t="shared" si="22"/>
        <v>0</v>
      </c>
      <c r="X75" s="123">
        <f t="shared" si="32"/>
        <v>1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1</v>
      </c>
      <c r="AL75" s="123">
        <f>AI75-AJ75</f>
        <v>2</v>
      </c>
      <c r="AM75" s="123">
        <f>AL75-AL78</f>
        <v>4</v>
      </c>
      <c r="AN75" s="123">
        <f>AF75*3+AG75</f>
        <v>7</v>
      </c>
      <c r="AO75" s="123">
        <f>AN75/AN78*10+BA75</f>
        <v>9.7401477832512313</v>
      </c>
      <c r="AP75" s="123">
        <f>AO75*10000000+BI75*100+AM75/AM78*10+AI75/AI78*1++IF(AQ75=0,ROW(),AQ75)/2000000</f>
        <v>97401585.59814918</v>
      </c>
      <c r="AQ75" s="126">
        <f>VLOOKUP(AE75,db_fifarank,2,FALSE)</f>
        <v>1717.07</v>
      </c>
      <c r="AR75" s="125">
        <f>AP75/AP78</f>
        <v>0.99999998973266779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100.5</v>
      </c>
      <c r="BA75" s="126">
        <f>AZ75/AZ78</f>
        <v>0.99014778325123154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100.5</v>
      </c>
      <c r="BI75" s="126">
        <f>BH75/BH78</f>
        <v>0.99014778325123154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1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3 - 1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2</v>
      </c>
      <c r="AL76" s="123">
        <f>AI76-AJ76</f>
        <v>-2</v>
      </c>
      <c r="AM76" s="123">
        <f>AL76-AL78</f>
        <v>0</v>
      </c>
      <c r="AN76" s="123">
        <f>AF76*3+AG76</f>
        <v>1</v>
      </c>
      <c r="AO76" s="123">
        <f>AN76/AN78*10+BA76</f>
        <v>2.2352216748768474</v>
      </c>
      <c r="AP76" s="123">
        <f>AO76*10000000+BI76*100+AM76/AM78*10+AI76/AI78*1++IF(AQ76=0,ROW(),AQ76)/2000000</f>
        <v>22352315.27160912</v>
      </c>
      <c r="AQ76" s="126">
        <f>VLOOKUP(AE76,db_fifarank,2,FALSE)</f>
        <v>1346.31</v>
      </c>
      <c r="AR76" s="125">
        <f>AP76/AP78</f>
        <v>0.22948615163545358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</v>
      </c>
      <c r="BA76" s="126">
        <f>AZ76/AZ78</f>
        <v>0.98522167487684731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</v>
      </c>
      <c r="BI76" s="126">
        <f>BH76/BH78</f>
        <v>0.98522167487684731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0 - 2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2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2.2352216748768474</v>
      </c>
      <c r="AP77" s="123">
        <f>AO77*10000000+BI77*100+AM77/AM78*10+AI77/AI78*1++IF(AQ77=0,ROW(),AQ77)/2000000</f>
        <v>22352315.271706283</v>
      </c>
      <c r="AQ77" s="126">
        <f>VLOOKUP(AE77,db_fifarank,2,FALSE)</f>
        <v>1540.64</v>
      </c>
      <c r="AR77" s="125">
        <f>AP77/AP78</f>
        <v>0.22948615163645111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</v>
      </c>
      <c r="BA77" s="126">
        <f>AZ77/AZ78</f>
        <v>0.98522167487684731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</v>
      </c>
      <c r="BI77" s="126">
        <f>BH77/BH78</f>
        <v>0.98522167487684731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0 - 2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4</v>
      </c>
      <c r="AL78" s="123">
        <f>MIN(AL74:AL77)</f>
        <v>-2</v>
      </c>
      <c r="AM78" s="123">
        <f>MAX(AM74:AM77)+1</f>
        <v>5</v>
      </c>
      <c r="AN78" s="123">
        <f>MAX(AN74:AN77)+1</f>
        <v>8</v>
      </c>
      <c r="AO78" s="123">
        <f>MAX(AO74:AO77)+1</f>
        <v>10.740147783251231</v>
      </c>
      <c r="AP78" s="123">
        <f>MAX(AP74:AP77)+1</f>
        <v>97401586.598203629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101.5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6875.0007506900001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0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4200.0007782399998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Haiti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5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6025.0006458549997</v>
      </c>
      <c r="AQ82" s="126">
        <f t="shared" si="37"/>
        <v>1291.71</v>
      </c>
      <c r="AR82" s="125" t="str">
        <f t="shared" ref="AR82:AR91" si="50">AR81&amp;IF(AD82&lt;=8,RIGHT(AK82,1),"")</f>
        <v>AC</v>
      </c>
      <c r="AS82" s="129" t="str">
        <f t="shared" si="46"/>
        <v>Haiti</v>
      </c>
      <c r="AT82" s="130" t="str">
        <f>"Ⓒ "&amp;AE82</f>
        <v>Ⓒ Haiti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3 - 3</v>
      </c>
      <c r="P83" s="101">
        <f t="shared" si="48"/>
        <v>3</v>
      </c>
      <c r="AD83" s="123">
        <f t="shared" si="38"/>
        <v>5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1</v>
      </c>
      <c r="AJ83" s="123">
        <f t="shared" si="42"/>
        <v>3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6425.0007517499998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Ⓚ DR Congo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1 - 1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Ecuador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0</v>
      </c>
      <c r="AJ84" s="123">
        <f t="shared" si="42"/>
        <v>2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2</v>
      </c>
      <c r="AP84" s="123">
        <f>AN84/AN92*10000+AM84/AM92*1000+AI84/AI92*100+IF(AQ84=0,ROW(),AQ84)/2000000</f>
        <v>4400.0007973900001</v>
      </c>
      <c r="AQ84" s="126">
        <f t="shared" si="37"/>
        <v>1594.78</v>
      </c>
      <c r="AR84" s="125" t="str">
        <f t="shared" si="50"/>
        <v>ACDE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Paraguay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Senegal</v>
      </c>
      <c r="T85" s="127" t="str" cm="1">
        <f t="array" ref="T85">IF(OR(S85="",S85="draw"),INDEX(T,87,lang),S85)</f>
        <v>Senegal</v>
      </c>
      <c r="AD85" s="123">
        <f t="shared" si="38"/>
        <v>1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8850.000830215</v>
      </c>
      <c r="AQ85" s="126">
        <f t="shared" si="37"/>
        <v>1660.43</v>
      </c>
      <c r="AR85" s="125" t="str">
        <f t="shared" si="50"/>
        <v>ACDEF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Haiti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2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2400.0008076499998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0 - 1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3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2200.000710715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Ecuador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0 - 2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2</v>
      </c>
      <c r="AJ88" s="123">
        <f t="shared" si="42"/>
        <v>2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8850.00077547</v>
      </c>
      <c r="AQ88" s="126">
        <f t="shared" si="37"/>
        <v>1550.94</v>
      </c>
      <c r="AR88" s="125" t="str">
        <f t="shared" si="50"/>
        <v>ACDEFI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Canada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0 - 3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7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0</v>
      </c>
      <c r="AJ89" s="123">
        <f t="shared" si="42"/>
        <v>1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4600.0007821299996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0 - 2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4</v>
      </c>
      <c r="AE90" s="124" t="str">
        <f>J71</f>
        <v>DR Congo</v>
      </c>
      <c r="AF90" s="123">
        <f t="shared" si="39"/>
        <v>0</v>
      </c>
      <c r="AG90" s="123">
        <f t="shared" si="49"/>
        <v>3</v>
      </c>
      <c r="AH90" s="123">
        <f t="shared" si="40"/>
        <v>0</v>
      </c>
      <c r="AI90" s="123">
        <f t="shared" si="41"/>
        <v>1</v>
      </c>
      <c r="AJ90" s="123">
        <f t="shared" si="42"/>
        <v>1</v>
      </c>
      <c r="AK90" s="123" t="s">
        <v>3191</v>
      </c>
      <c r="AL90" s="123">
        <f t="shared" si="43"/>
        <v>0</v>
      </c>
      <c r="AM90" s="123">
        <f t="shared" si="44"/>
        <v>4</v>
      </c>
      <c r="AN90" s="123">
        <f t="shared" si="45"/>
        <v>3</v>
      </c>
      <c r="AP90" s="123">
        <f>AN90/AN92*10000+AM90/AM92*1000+AI90/AI92*100+IF(AQ90=0,ROW(),AQ90)/2000000</f>
        <v>6825.0007391749996</v>
      </c>
      <c r="AQ90" s="126">
        <f t="shared" si="37"/>
        <v>1478.35</v>
      </c>
      <c r="AR90" s="125" t="str">
        <f t="shared" si="50"/>
        <v>ACDEFIJK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0 - 2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0</v>
      </c>
      <c r="AJ91" s="123">
        <f>VLOOKUP($AE91,$AE$8:$AQ$78,6,FALSE)</f>
        <v>2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2400.0007703199999</v>
      </c>
      <c r="AQ91" s="126">
        <f t="shared" si="37"/>
        <v>1540.64</v>
      </c>
      <c r="AR91" s="125" t="str">
        <f t="shared" si="50"/>
        <v>ACDEFIJK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0 - 3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4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Senegal</v>
      </c>
      <c r="T95" s="127" t="str" cm="1">
        <f t="array" ref="T95">IF(OR(S95="",S95="draw"),INDEX(T,94,lang),S95)</f>
        <v>Senegal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Senegal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Senegal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269</v>
      </c>
      <c r="C3" s="121" t="str">
        <f>'2026 World Cup'!AR91</f>
        <v>ACDEFIJK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8A00DC-C792-4B44-B7EF-999FCB6A3ACD}"/>
</file>

<file path=customXml/itemProps2.xml><?xml version="1.0" encoding="utf-8"?>
<ds:datastoreItem xmlns:ds="http://schemas.openxmlformats.org/officeDocument/2006/customXml" ds:itemID="{1A5F4366-41A1-4CE7-BF38-3663D2A5EB4C}"/>
</file>

<file path=customXml/itemProps3.xml><?xml version="1.0" encoding="utf-8"?>
<ds:datastoreItem xmlns:ds="http://schemas.openxmlformats.org/officeDocument/2006/customXml" ds:itemID="{A4A2FE8D-853F-463D-9EBD-9A644745BB79}"/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2026-06-12T12:11:09Z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