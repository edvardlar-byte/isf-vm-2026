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dagwo_uio_no/Documents/"/>
    </mc:Choice>
  </mc:AlternateContent>
  <xr:revisionPtr revIDLastSave="0" documentId="8_{CF1C9888-8021-4618-8821-7648D7A4C0BD}" xr6:coauthVersionLast="47" xr6:coauthVersionMax="47" xr10:uidLastSave="{00000000-0000-0000-0000-000000000000}"/>
  <bookViews>
    <workbookView xWindow="-120" yWindow="-120" windowWidth="38640" windowHeight="2112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S25" i="3"/>
  <c r="S49" i="3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S21" i="3"/>
  <c r="S45" i="3"/>
  <c r="T45" i="3" s="1"/>
  <c r="S18" i="3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T75" i="3"/>
  <c r="T25" i="3"/>
  <c r="T49" i="3"/>
  <c r="S47" i="3"/>
  <c r="S67" i="3"/>
  <c r="S72" i="3"/>
  <c r="T46" i="3"/>
  <c r="S70" i="3"/>
  <c r="T21" i="3"/>
  <c r="S42" i="3"/>
  <c r="S64" i="3"/>
  <c r="T18" i="3"/>
  <c r="T41" i="3"/>
  <c r="S40" i="3"/>
  <c r="S62" i="3"/>
  <c r="S38" i="3"/>
  <c r="S65" i="3"/>
  <c r="S55" i="3"/>
  <c r="T11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D58" i="3" s="1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70" i="3" l="1"/>
  <c r="AR10" i="3"/>
  <c r="AR11" i="3"/>
  <c r="AR69" i="3"/>
  <c r="AR35" i="3"/>
  <c r="AR71" i="3"/>
  <c r="AD68" i="3" s="1"/>
  <c r="AR9" i="3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4" i="3" l="1"/>
  <c r="AD9" i="3"/>
  <c r="AD71" i="3"/>
  <c r="AD70" i="3"/>
  <c r="AD69" i="3"/>
  <c r="AD33" i="3"/>
  <c r="AD32" i="3"/>
  <c r="M35" i="3" s="1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L70" i="3"/>
  <c r="M70" i="3"/>
  <c r="N70" i="3"/>
  <c r="O70" i="3"/>
  <c r="J70" i="3"/>
  <c r="AS69" i="3" s="1"/>
  <c r="BL26" i="3" s="1"/>
  <c r="N35" i="3" l="1"/>
  <c r="L36" i="3"/>
  <c r="N71" i="3"/>
  <c r="O36" i="3"/>
  <c r="J69" i="3"/>
  <c r="AS68" i="3" s="1"/>
  <c r="BL70" i="3" s="1"/>
  <c r="O34" i="3"/>
  <c r="O71" i="3"/>
  <c r="M71" i="3"/>
  <c r="L71" i="3"/>
  <c r="J71" i="3"/>
  <c r="AE90" i="3" s="1"/>
  <c r="AQ90" i="3" s="1"/>
  <c r="J36" i="3"/>
  <c r="J72" i="3"/>
  <c r="N69" i="3"/>
  <c r="O69" i="3"/>
  <c r="N72" i="3"/>
  <c r="M72" i="3"/>
  <c r="M69" i="3"/>
  <c r="O72" i="3"/>
  <c r="L72" i="3"/>
  <c r="L69" i="3"/>
  <c r="N36" i="3"/>
  <c r="J33" i="3"/>
  <c r="AS32" i="3" s="1"/>
  <c r="BL10" i="3" s="1"/>
  <c r="M34" i="3"/>
  <c r="N10" i="3"/>
  <c r="J10" i="3"/>
  <c r="AS9" i="3" s="1"/>
  <c r="BL1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P35" i="3" s="1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S86" i="3"/>
  <c r="T86" i="3" s="1" a="1"/>
  <c r="T86" i="3" s="1"/>
  <c r="BS28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BZ48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P72" i="3"/>
  <c r="P70" i="3"/>
  <c r="K70" i="3"/>
  <c r="P69" i="3"/>
  <c r="K69" i="3" l="1"/>
  <c r="K72" i="3"/>
  <c r="BS61" i="3"/>
  <c r="BZ64" i="3" s="1"/>
  <c r="AH90" i="3"/>
  <c r="AT90" i="3"/>
  <c r="AN90" i="3"/>
  <c r="AF90" i="3"/>
  <c r="P71" i="3"/>
  <c r="AJ90" i="3"/>
  <c r="AG90" i="3"/>
  <c r="K71" i="3"/>
  <c r="AL90" i="3"/>
  <c r="AI90" i="3"/>
  <c r="P34" i="3"/>
  <c r="S88" i="3"/>
  <c r="T88" i="3" s="1" a="1"/>
  <c r="T88" i="3" s="1"/>
  <c r="P12" i="3"/>
  <c r="K36" i="3"/>
  <c r="P33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U102" i="3" s="1"/>
  <c r="AC102" i="3" s="1" a="1"/>
  <c r="AC102" i="3" s="1"/>
  <c r="S95" i="3"/>
  <c r="T95" i="3" s="1" a="1"/>
  <c r="T95" i="3" s="1"/>
  <c r="S102" i="3" l="1"/>
  <c r="T102" i="3" s="1" a="1"/>
  <c r="T102" i="3" s="1"/>
  <c r="CG23" i="3"/>
  <c r="S111" i="3" s="1"/>
  <c r="T111" i="3" s="1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BS53" i="3" s="1"/>
  <c r="E3" i="4"/>
  <c r="BL67" i="3" s="1"/>
  <c r="BS68" i="3" s="1"/>
  <c r="J3" i="4"/>
  <c r="BL71" i="3" s="1"/>
  <c r="BS69" i="3" s="1"/>
  <c r="BZ65" i="3" s="1"/>
  <c r="CG56" i="3" s="1"/>
  <c r="I3" i="4"/>
  <c r="BL15" i="3" s="1"/>
  <c r="D3" i="4"/>
  <c r="BL51" i="3" s="1"/>
  <c r="BS52" i="3"/>
  <c r="BZ49" i="3" l="1"/>
  <c r="CG55" i="3" s="1"/>
  <c r="CN49" i="3" s="1"/>
  <c r="S91" i="3"/>
  <c r="T91" i="3" s="1" a="1"/>
  <c r="T91" i="3" s="1"/>
  <c r="BS37" i="3"/>
  <c r="CN38" i="3" l="1"/>
  <c r="CK68" i="3" s="1"/>
  <c r="S98" i="3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<sst xmlns="http://schemas.openxmlformats.org/spreadsheetml/2006/main" count="9786" uniqueCount="3698">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</sst>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6" zoomScaleNormal="100" workbookViewId="0">
      <selection activeCell="CL54" sqref="CL54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4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2</v>
      </c>
      <c r="AL8" s="123">
        <f>AI8-AJ8</f>
        <v>3</v>
      </c>
      <c r="AM8" s="123">
        <f>AL8-AL12</f>
        <v>6</v>
      </c>
      <c r="AN8" s="123">
        <f>AF8*3+AG8</f>
        <v>5</v>
      </c>
      <c r="AO8" s="123">
        <f>AN8/AN12*10+BA8</f>
        <v>7.1428571428571432</v>
      </c>
      <c r="AP8" s="123">
        <f>AO8*10000000+BI8*100+AM8/AM12*10+AI8/AI12*1++IF(AQ8=0,ROW(),AQ8)/2000000</f>
        <v>71428580.834173843</v>
      </c>
      <c r="AQ8" s="126">
        <f>VLOOKUP(AE8,db_fifarank,2,FALSE)</f>
        <v>1681.03</v>
      </c>
      <c r="AR8" s="125">
        <f>AP8/AP12</f>
        <v>0.83333336967877858</v>
      </c>
      <c r="AS8" s="125" t="str">
        <f>IF(SUM(AF8:AH11)=12,J9,"1A")</f>
        <v>South Africa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South Africa</v>
      </c>
      <c r="K9" s="31">
        <f>L9+M9+N9</f>
        <v>3</v>
      </c>
      <c r="L9" s="31">
        <f>VLOOKUP(1,AD8:AN11,3,FALSE)</f>
        <v>2</v>
      </c>
      <c r="M9" s="31">
        <f>VLOOKUP(1,AD8:AN11,4,FALSE)</f>
        <v>0</v>
      </c>
      <c r="N9" s="31">
        <f>VLOOKUP(1,AD8:AN11,5,FALSE)</f>
        <v>1</v>
      </c>
      <c r="O9" s="31" t="str">
        <f>VLOOKUP(1,AD8:AN11,6,FALSE) &amp; " - " &amp; VLOOKUP(1,AD8:AN11,7,FALSE)</f>
        <v>5 - 4</v>
      </c>
      <c r="P9" s="32">
        <f>L9*3+M9</f>
        <v>6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1</v>
      </c>
      <c r="AE9" s="124" t="str">
        <f>VLOOKUP("South Africa",T,lang,FALSE)</f>
        <v>South Africa</v>
      </c>
      <c r="AF9" s="123">
        <f>COUNTIF($S$7:$T$78,"=" &amp; AE9 &amp; "_win")</f>
        <v>2</v>
      </c>
      <c r="AG9" s="123">
        <f>COUNTIF($S$7:$T$78,"=" &amp; AE9 &amp; "_draw")</f>
        <v>0</v>
      </c>
      <c r="AH9" s="123">
        <f>COUNTIF($S$7:$T$78,"=" &amp; AE9 &amp; "_lose")</f>
        <v>1</v>
      </c>
      <c r="AI9" s="123">
        <f>SUMIF($E$7:$E$78,$AE9,$F$7:$F$78) + SUMIF($H$7:$H$78,$AE9,$G$7:$G$78)</f>
        <v>5</v>
      </c>
      <c r="AJ9" s="123">
        <f>SUMIF($E$7:$E$78,$AE9,$G$7:$G$78) + SUMIF($H$7:$H$78,$AE9,$F$7:$F$78)</f>
        <v>4</v>
      </c>
      <c r="AL9" s="123">
        <f>AI9-AJ9</f>
        <v>1</v>
      </c>
      <c r="AM9" s="123">
        <f>AL9-AL12</f>
        <v>4</v>
      </c>
      <c r="AN9" s="123">
        <f>AF9*3+AG9</f>
        <v>6</v>
      </c>
      <c r="AO9" s="123">
        <f>AN9/AN12*10+BA9</f>
        <v>8.5714285714285712</v>
      </c>
      <c r="AP9" s="123">
        <f>AO9*10000000+BI9*100+AM9/AM12*10+AI9/AI12*1++IF(AQ9=0,ROW(),AQ9)/2000000</f>
        <v>85714292.26261963</v>
      </c>
      <c r="AQ9" s="126">
        <f>VLOOKUP(AE9,db_fifarank,2,FALSE)</f>
        <v>1429.73</v>
      </c>
      <c r="AR9" s="125">
        <f>AP9/AP12</f>
        <v>0.99999998833333437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5 - 2</v>
      </c>
      <c r="P10" s="34">
        <f>L10*3+M10</f>
        <v>5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4</v>
      </c>
      <c r="AL10" s="123">
        <f>AI10-AJ10</f>
        <v>-1</v>
      </c>
      <c r="AM10" s="123">
        <f>AL10-AL12</f>
        <v>2</v>
      </c>
      <c r="AN10" s="123">
        <f>AF10*3+AG10</f>
        <v>4</v>
      </c>
      <c r="AO10" s="123">
        <f>AN10/AN12*10+BA10</f>
        <v>5.7142857142857135</v>
      </c>
      <c r="AP10" s="123">
        <f>AO10*10000000+BI10*100+AM10/AM12*10+AI10/AI12*1++IF(AQ10=0,ROW(),AQ10)/2000000</f>
        <v>57142860.500794321</v>
      </c>
      <c r="AQ10" s="126">
        <f>VLOOKUP(AE10,db_fifarank,2,FALSE)</f>
        <v>1588.66</v>
      </c>
      <c r="AR10" s="125">
        <f>AP10/AP12</f>
        <v>0.66666664713333834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Ecuador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3 - 4</v>
      </c>
      <c r="P11" s="34">
        <f>L11*3+M11</f>
        <v>4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1</v>
      </c>
      <c r="AJ11" s="123">
        <f>SUMIF($E$7:$E$78,$AE11,$G$7:$G$78) + SUMIF($H$7:$H$78,$AE11,$F$7:$F$78)</f>
        <v>4</v>
      </c>
      <c r="AL11" s="123">
        <f>AI11-AJ11</f>
        <v>-3</v>
      </c>
      <c r="AM11" s="123">
        <f>AL11-AL12</f>
        <v>0</v>
      </c>
      <c r="AN11" s="123">
        <f>AF11*3+AG11</f>
        <v>1</v>
      </c>
      <c r="AO11" s="123">
        <f>AN11/AN12*10+BA11</f>
        <v>1.4285714285714284</v>
      </c>
      <c r="AP11" s="123">
        <f>AO11*10000000+BI11*100+AM11/AM12*10+AI11/AI12*1++IF(AQ11=0,ROW(),AQ11)/2000000</f>
        <v>14285714.45313164</v>
      </c>
      <c r="AQ11" s="126">
        <f>VLOOKUP(AE11,db_fifarank,2,FALSE)</f>
        <v>1501.38</v>
      </c>
      <c r="AR11" s="125">
        <f>AP11/AP12</f>
        <v>0.16666665394255431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Sweden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2</v>
      </c>
      <c r="G12" s="20">
        <v>2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1 - 4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3</v>
      </c>
      <c r="AI12" s="123">
        <f>MAX(AI8:AI11)+1</f>
        <v>6</v>
      </c>
      <c r="AL12" s="123">
        <f>MIN(AL8:AL11)</f>
        <v>-3</v>
      </c>
      <c r="AM12" s="123">
        <f>MAX(AM8:AM11)+1</f>
        <v>7</v>
      </c>
      <c r="AN12" s="123">
        <f>MAX(AN8:AN11)+1</f>
        <v>7</v>
      </c>
      <c r="AO12" s="123">
        <f>MAX(AO8:AO11)+1</f>
        <v>9.5714285714285712</v>
      </c>
      <c r="AP12" s="123">
        <f>MAX(AP8:AP11)+1</f>
        <v>85714293.26261963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Ecuador</v>
      </c>
      <c r="BT12" s="61">
        <v>0</v>
      </c>
      <c r="BU12" s="63"/>
      <c r="BV12" s="25">
        <v>1</v>
      </c>
      <c r="BW12" s="112">
        <f>IF(OR(BT12="",BT13="",AND(BU12="",BU13&lt;&gt;""),AND(BU13="",BU12&lt;&gt;""),AND(BV12="",BV13&lt;&gt;""),AND(BV13="",BV12&lt;&gt;"")),"",BT12*1000+BU12*10+BV12)</f>
        <v>1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0</v>
      </c>
      <c r="G13" s="20">
        <v>0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Norway</v>
      </c>
      <c r="BT13" s="62">
        <v>0</v>
      </c>
      <c r="BU13" s="64"/>
      <c r="BV13" s="27">
        <v>0</v>
      </c>
      <c r="BW13" s="113">
        <f>IF(BW12="","",BT13*1000+BU13*10+BV13)</f>
        <v>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0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Qatar_draw</v>
      </c>
      <c r="T14" s="127" t="str">
        <f t="shared" si="2"/>
        <v>Switzerland_draw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0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3</v>
      </c>
      <c r="AG14" s="123">
        <f>COUNTIF($S$7:$T$78,"=" &amp; AE14 &amp; "_draw")</f>
        <v>0</v>
      </c>
      <c r="AH14" s="123">
        <f>COUNTIF($S$7:$T$78,"=" &amp; AE14 &amp; "_lose")</f>
        <v>0</v>
      </c>
      <c r="AI14" s="123">
        <f>SUMIF($E$7:$E$78,$AE14,$F$7:$F$78) + SUMIF($H$7:$H$78,$AE14,$G$7:$G$78)</f>
        <v>6</v>
      </c>
      <c r="AJ14" s="123">
        <f>SUMIF($E$7:$E$78,$AE14,$G$7:$G$78) + SUMIF($H$7:$H$78,$AE14,$F$7:$F$78)</f>
        <v>1</v>
      </c>
      <c r="AL14" s="123">
        <f>AI14-AJ14</f>
        <v>5</v>
      </c>
      <c r="AM14" s="123">
        <f>AL14-AL18</f>
        <v>9</v>
      </c>
      <c r="AN14" s="123">
        <f>AF14*3+AG14</f>
        <v>9</v>
      </c>
      <c r="AO14" s="123">
        <f>AN14/AN18*10+BA14</f>
        <v>9</v>
      </c>
      <c r="AP14" s="123">
        <f>AO14*10000000+BI14*100+AM14/AM18*10+AI14/AI18*1++IF(AQ14=0,ROW(),AQ14)/2000000</f>
        <v>90000009.857921094</v>
      </c>
      <c r="AQ14" s="126">
        <f>VLOOKUP(AE14,db_fifarank,2,FALSE)</f>
        <v>1556.48</v>
      </c>
      <c r="AR14" s="125">
        <f>AP14/AP18</f>
        <v>0.99999998888889019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Norway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6 - 1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5</v>
      </c>
      <c r="AL15" s="123">
        <f>AI15-AJ15</f>
        <v>-2</v>
      </c>
      <c r="AM15" s="123">
        <f>AL15-AL18</f>
        <v>2</v>
      </c>
      <c r="AN15" s="123">
        <f>AF15*3+AG15</f>
        <v>3</v>
      </c>
      <c r="AO15" s="123">
        <f>AN15/AN18*10+BA15</f>
        <v>3</v>
      </c>
      <c r="AP15" s="123">
        <f>AO15*10000000+BI15*100+AM15/AM18*10+AI15/AI18*1++IF(AQ15=0,ROW(),AQ15)/2000000</f>
        <v>30000002.429264348</v>
      </c>
      <c r="AQ15" s="126">
        <f>VLOOKUP(AE15,db_fifarank,2,FALSE)</f>
        <v>1385.84</v>
      </c>
      <c r="AR15" s="125">
        <f>AP15/AP18</f>
        <v>0.33333332011063843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Saudi Arabia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4 - 3</v>
      </c>
      <c r="P16" s="34">
        <f>L16*3+M16</f>
        <v>4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5</v>
      </c>
      <c r="AL16" s="123">
        <f>AI16-AJ16</f>
        <v>-4</v>
      </c>
      <c r="AM16" s="123">
        <f>AL16-AL18</f>
        <v>0</v>
      </c>
      <c r="AN16" s="123">
        <f>AF16*3+AG16</f>
        <v>1</v>
      </c>
      <c r="AO16" s="123">
        <f>AN16/AN18*10+BA16</f>
        <v>1</v>
      </c>
      <c r="AP16" s="123">
        <f>AO16*10000000+BI16*100+AM16/AM18*10+AI16/AI18*1++IF(AQ16=0,ROW(),AQ16)/2000000</f>
        <v>10000000.143584624</v>
      </c>
      <c r="AQ16" s="126">
        <f>VLOOKUP(AE16,db_fifarank,2,FALSE)</f>
        <v>1454.96</v>
      </c>
      <c r="AR16" s="125">
        <f>AP16/AP18</f>
        <v>0.11111109930165639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Ecuador</v>
      </c>
      <c r="CA16" s="61">
        <v>0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3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3 - 5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Netherlands_lose</v>
      </c>
      <c r="T17" s="127" t="str">
        <f t="shared" si="2"/>
        <v>Japan_win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-1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1</v>
      </c>
      <c r="AH17" s="123">
        <f>COUNTIF($S$7:$T$78,"=" &amp; AE17 &amp; "_lose")</f>
        <v>1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3</v>
      </c>
      <c r="AL17" s="123">
        <f>AI17-AJ17</f>
        <v>1</v>
      </c>
      <c r="AM17" s="123">
        <f>AL17-AL18</f>
        <v>5</v>
      </c>
      <c r="AN17" s="123">
        <f>AF17*3+AG17</f>
        <v>4</v>
      </c>
      <c r="AO17" s="123">
        <f>AN17/AN18*10+BA17</f>
        <v>4</v>
      </c>
      <c r="AP17" s="123">
        <f>AO17*10000000+BI17*100+AM17/AM18*10+AI17/AI18*1++IF(AQ17=0,ROW(),AQ17)/2000000</f>
        <v>40000005.572253272</v>
      </c>
      <c r="AQ17" s="126">
        <f>VLOOKUP(AE17,db_fifarank,2,FALSE)</f>
        <v>1649.4</v>
      </c>
      <c r="AR17" s="125">
        <f>AP17/AP18</f>
        <v>0.44444445273900524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2</v>
      </c>
      <c r="CB17" s="64"/>
      <c r="CC17" s="27"/>
      <c r="CD17" s="113">
        <f>IF(CD16="","",CA17*1000+CB17*10+CC17)</f>
        <v>2000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1 - 5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7</v>
      </c>
      <c r="AL18" s="123">
        <f>MIN(AL14:AL17)</f>
        <v>-4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90000010.857921094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Mexico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1</v>
      </c>
      <c r="G19" s="20">
        <v>1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Arabia_draw</v>
      </c>
      <c r="T19" s="127" t="str">
        <f t="shared" si="2"/>
        <v>Uruguay_draw</v>
      </c>
      <c r="U19" s="123">
        <f t="shared" si="8"/>
        <v>1</v>
      </c>
      <c r="V19" s="123">
        <f t="shared" si="3"/>
        <v>1</v>
      </c>
      <c r="W19" s="123">
        <f t="shared" si="4"/>
        <v>1</v>
      </c>
      <c r="X19" s="123">
        <f t="shared" si="9"/>
        <v>1</v>
      </c>
      <c r="Y19" s="123">
        <f t="shared" si="10"/>
        <v>1</v>
      </c>
      <c r="Z19" s="123">
        <f t="shared" si="11"/>
        <v>1</v>
      </c>
      <c r="AA19" s="123">
        <f t="shared" si="5"/>
        <v>0</v>
      </c>
      <c r="AB19" s="123">
        <f t="shared" si="6"/>
        <v>0</v>
      </c>
      <c r="BK19" s="132"/>
      <c r="BL19" s="26" t="str">
        <f>AS15</f>
        <v>Switzerland</v>
      </c>
      <c r="BM19" s="62">
        <v>2</v>
      </c>
      <c r="BN19" s="64"/>
      <c r="BO19" s="27"/>
      <c r="BP19" s="113">
        <f>IF(BP18="","",BM19*1000+BN19*10+BO19)</f>
        <v>2000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3</v>
      </c>
      <c r="AE20" s="124" t="str">
        <f>VLOOKUP("Brazil",T,lang,FALSE)</f>
        <v>Brazil</v>
      </c>
      <c r="AF20" s="123">
        <f>COUNTIF($S$7:$T$78,"=" &amp; AE20 &amp; "_win")</f>
        <v>0</v>
      </c>
      <c r="AG20" s="123">
        <f>COUNTIF($S$7:$T$78,"=" &amp; AE20 &amp; "_draw")</f>
        <v>2</v>
      </c>
      <c r="AH20" s="123">
        <f>COUNTIF($S$7:$T$78,"=" &amp; AE20 &amp; "_lose")</f>
        <v>1</v>
      </c>
      <c r="AI20" s="123">
        <f>SUMIF($E$7:$E$78,$AE20,$F$7:$F$78) + SUMIF($H$7:$H$78,$AE20,$G$7:$G$78)</f>
        <v>0</v>
      </c>
      <c r="AJ20" s="123">
        <f>SUMIF($E$7:$E$78,$AE20,$G$7:$G$78) + SUMIF($H$7:$H$78,$AE20,$F$7:$F$78)</f>
        <v>1</v>
      </c>
      <c r="AL20" s="123">
        <f>AI20-AJ20</f>
        <v>-1</v>
      </c>
      <c r="AM20" s="123">
        <f>AL20-AL24</f>
        <v>3</v>
      </c>
      <c r="AN20" s="123">
        <f>AF20*3+AG20</f>
        <v>2</v>
      </c>
      <c r="AO20" s="123">
        <f>AN20/AN24*10+BA20</f>
        <v>2.5</v>
      </c>
      <c r="AP20" s="123">
        <f>AO20*10000000+BI20*100+AM20/AM24*10+AI20/AI24*1++IF(AQ20=0,ROW(),AQ20)/2000000</f>
        <v>25000003.00088058</v>
      </c>
      <c r="AQ20" s="126">
        <f>VLOOKUP(AE20,db_fifarank,2,FALSE)</f>
        <v>1761.16</v>
      </c>
      <c r="AR20" s="125">
        <f>AP20/AP24</f>
        <v>0.28571428463304754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Switzerland</v>
      </c>
      <c r="BT20" s="61">
        <v>2</v>
      </c>
      <c r="BU20" s="63"/>
      <c r="BV20" s="25">
        <v>0</v>
      </c>
      <c r="BW20" s="116">
        <f>IF(OR(BT20="",BT21="",AND(BU20="",BU21&lt;&gt;""),AND(BU21="",BU20&lt;&gt;""),AND(BV20="",BV21&lt;&gt;""),AND(BV21="",BV20&lt;&gt;"")),"",BT20*1000+BU20*10+BV20)</f>
        <v>2000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5 - 0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0</v>
      </c>
      <c r="AL21" s="123">
        <f>AI21-AJ21</f>
        <v>5</v>
      </c>
      <c r="AM21" s="123">
        <f>AL21-AL24</f>
        <v>9</v>
      </c>
      <c r="AN21" s="123">
        <f>AF21*3+AG21</f>
        <v>7</v>
      </c>
      <c r="AO21" s="123">
        <f>AN21/AN24*10+BA21</f>
        <v>8.75</v>
      </c>
      <c r="AP21" s="123">
        <f>AO21*10000000+BI21*100+AM21/AM24*10+AI21/AI24*1++IF(AQ21=0,ROW(),AQ21)/2000000</f>
        <v>87500009.83421126</v>
      </c>
      <c r="AQ21" s="126">
        <f>VLOOKUP(AE21,db_fifarank,2,FALSE)</f>
        <v>1755.87</v>
      </c>
      <c r="AR21" s="125">
        <f>AP21/AP24</f>
        <v>0.99999998857143002</v>
      </c>
      <c r="AS21" s="125" t="str">
        <f>IF(SUM(AF20:AH23)=12,J22,"2C")</f>
        <v>Scotland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>
        <v>1</v>
      </c>
      <c r="BW21" s="112">
        <f>IF(BW20="","",BT21*1000+BU21*10+BV21)</f>
        <v>2001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2</v>
      </c>
      <c r="H22" s="80" t="str">
        <f>AE45</f>
        <v>Egypt</v>
      </c>
      <c r="J22" s="33" t="str">
        <f>VLOOKUP(2,AD20:AN23,2,FALSE)</f>
        <v>Scotland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4 - 4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2</v>
      </c>
      <c r="W22" s="123">
        <f t="shared" si="4"/>
        <v>2</v>
      </c>
      <c r="X22" s="123">
        <f t="shared" si="9"/>
        <v>1</v>
      </c>
      <c r="Y22" s="123">
        <f t="shared" si="10"/>
        <v>2</v>
      </c>
      <c r="Z22" s="123">
        <f t="shared" si="11"/>
        <v>2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1</v>
      </c>
      <c r="AH22" s="123">
        <f>COUNTIF($S$7:$T$78,"=" &amp; AE22 &amp; "_lose")</f>
        <v>2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4</v>
      </c>
      <c r="AL22" s="123">
        <f>AI22-AJ22</f>
        <v>-4</v>
      </c>
      <c r="AM22" s="123">
        <f>AL22-AL24</f>
        <v>0</v>
      </c>
      <c r="AN22" s="123">
        <f>AF22*3+AG22</f>
        <v>1</v>
      </c>
      <c r="AO22" s="123">
        <f>AN22/AN24*10+BA22</f>
        <v>1.25</v>
      </c>
      <c r="AP22" s="123">
        <f>AO22*10000000+BI22*100+AM22/AM24*10+AI22/AI24*1++IF(AQ22=0,ROW(),AQ22)/2000000</f>
        <v>12500000.000645855</v>
      </c>
      <c r="AQ22" s="126">
        <f>VLOOKUP(AE22,db_fifarank,2,FALSE)</f>
        <v>1291.71</v>
      </c>
      <c r="AR22" s="125">
        <f>AP22/AP24</f>
        <v>0.14285712517601806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2</v>
      </c>
      <c r="H23" s="80" t="str">
        <f>AE57</f>
        <v>Senegal</v>
      </c>
      <c r="J23" s="33" t="str">
        <f>VLOOKUP(3,AD20:AN23,2,FALSE)</f>
        <v>Brazil</v>
      </c>
      <c r="K23" s="23">
        <f>L23+M23+N23</f>
        <v>3</v>
      </c>
      <c r="L23" s="23">
        <f>VLOOKUP(3,AD20:AN23,3,FALSE)</f>
        <v>0</v>
      </c>
      <c r="M23" s="23">
        <f>VLOOKUP(3,AD20:AN23,4,FALSE)</f>
        <v>2</v>
      </c>
      <c r="N23" s="23">
        <f>VLOOKUP(3,AD20:AN23,5,FALSE)</f>
        <v>1</v>
      </c>
      <c r="O23" s="23" t="str">
        <f>VLOOKUP(3,AD20:AN23,6,FALSE) &amp; " - " &amp; VLOOKUP(3,AD20:AN23,7,FALSE)</f>
        <v>0 - 1</v>
      </c>
      <c r="P23" s="34">
        <f>L23*3+M23</f>
        <v>2</v>
      </c>
      <c r="R23" s="123">
        <f>DATE(2026,6,16)+TIME(8,0,0)+gmt_delta</f>
        <v>46189.791666666672</v>
      </c>
      <c r="S23" s="127" t="str">
        <f t="shared" si="1"/>
        <v>France_draw</v>
      </c>
      <c r="T23" s="127" t="str">
        <f t="shared" si="2"/>
        <v>Senegal_draw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2</v>
      </c>
      <c r="AE23" s="124" t="str">
        <f>VLOOKUP("Scotland",T,lang,FALSE)</f>
        <v>Scotland</v>
      </c>
      <c r="AF23" s="123">
        <f>COUNTIF($S$7:$T$78,"=" &amp; AE23 &amp; "_win")</f>
        <v>2</v>
      </c>
      <c r="AG23" s="123">
        <f>COUNTIF($S$7:$T$78,"=" &amp; AE23 &amp; "_draw")</f>
        <v>0</v>
      </c>
      <c r="AH23" s="123">
        <f>COUNTIF($S$7:$T$78,"=" &amp; AE23 &amp; "_lose")</f>
        <v>1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4</v>
      </c>
      <c r="AL23" s="123">
        <f>AI23-AJ23</f>
        <v>0</v>
      </c>
      <c r="AM23" s="123">
        <f>AL23-AL24</f>
        <v>4</v>
      </c>
      <c r="AN23" s="123">
        <f>AF23*3+AG23</f>
        <v>6</v>
      </c>
      <c r="AO23" s="123">
        <f>AN23/AN24*10+BA23</f>
        <v>7.5</v>
      </c>
      <c r="AP23" s="123">
        <f>AO23*10000000+BI23*100+AM23/AM24*10+AI23/AI24*1++IF(AQ23=0,ROW(),AQ23)/2000000</f>
        <v>75000004.667415842</v>
      </c>
      <c r="AQ23" s="126">
        <f>VLOOKUP(AE23,db_fifarank,2,FALSE)</f>
        <v>1498.35</v>
      </c>
      <c r="AR23" s="125">
        <f>AP23/AP24</f>
        <v>0.85714280435370993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Scotland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Netherlands</v>
      </c>
      <c r="CH23" s="61">
        <v>3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3000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1</v>
      </c>
      <c r="N24" s="36">
        <f>VLOOKUP(4,AD20:AN23,5,FALSE)</f>
        <v>2</v>
      </c>
      <c r="O24" s="36" t="str">
        <f>VLOOKUP(4,AD20:AN23,6,FALSE) &amp; " - " &amp; VLOOKUP(4,AD20:AN23,7,FALSE)</f>
        <v>0 - 4</v>
      </c>
      <c r="P24" s="37">
        <f>L24*3+M24</f>
        <v>1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3</v>
      </c>
      <c r="AH24" s="123">
        <f t="shared" si="14"/>
        <v>3</v>
      </c>
      <c r="AI24" s="123">
        <f>MAX(AI20:AI23)+1</f>
        <v>6</v>
      </c>
      <c r="AL24" s="123">
        <f>MIN(AL20:AL23)</f>
        <v>-4</v>
      </c>
      <c r="AM24" s="123">
        <f>MAX(AM20:AM23)+1</f>
        <v>10</v>
      </c>
      <c r="AN24" s="123">
        <f>MAX(AN20:AN23)+1</f>
        <v>8</v>
      </c>
      <c r="AO24" s="123">
        <f>MAX(AO20:AO23)+1</f>
        <v>9.75</v>
      </c>
      <c r="AP24" s="123">
        <f>MAX(AP20:AP23)+1</f>
        <v>87500010.83421126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0</v>
      </c>
      <c r="CI24" s="64"/>
      <c r="CJ24" s="27"/>
      <c r="CK24" s="113">
        <f>IF(CK23="","",CH24*1000+CI24*10+CJ24)</f>
        <v>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10</v>
      </c>
      <c r="AJ26" s="123">
        <f>SUMIF($E$7:$E$78,$AE26,$G$7:$G$78) + SUMIF($H$7:$H$78,$AE26,$F$7:$F$78)</f>
        <v>8</v>
      </c>
      <c r="AL26" s="123">
        <f>AI26-AJ26</f>
        <v>2</v>
      </c>
      <c r="AM26" s="123">
        <f>AL26-AL30</f>
        <v>6</v>
      </c>
      <c r="AN26" s="123">
        <f>AF26*3+AG26</f>
        <v>6</v>
      </c>
      <c r="AO26" s="123">
        <f>AN26/AN30*10+BA26</f>
        <v>7.5</v>
      </c>
      <c r="AP26" s="123">
        <f>AO26*10000000+BI26*100+AM26/AM30*10+AI26/AI30*1++IF(AQ26=0,ROW(),AQ26)/2000000</f>
        <v>75000007.576594144</v>
      </c>
      <c r="AQ26" s="126">
        <f>VLOOKUP(AE26,db_fifarank,2,FALSE)</f>
        <v>1673.13</v>
      </c>
      <c r="AR26" s="125">
        <f>AP26/AP30</f>
        <v>0.85714283883917419</v>
      </c>
      <c r="AS26" s="125" t="str">
        <f>IF(SUM(AF26:AH29)=12,J27,"1D")</f>
        <v>Australia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Portugal</v>
      </c>
      <c r="BM26" s="61">
        <v>4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4000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3</v>
      </c>
      <c r="H27" s="80" t="str">
        <f>AE77</f>
        <v>Panama</v>
      </c>
      <c r="J27" s="30" t="str">
        <f>VLOOKUP(1,AD26:AN29,2,FALSE)</f>
        <v>Australia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9 - 5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5</v>
      </c>
      <c r="AL27" s="123">
        <f>AI27-AJ27</f>
        <v>-2</v>
      </c>
      <c r="AM27" s="123">
        <f>AL27-AL30</f>
        <v>2</v>
      </c>
      <c r="AN27" s="123">
        <f>AF27*3+AG27</f>
        <v>1</v>
      </c>
      <c r="AO27" s="123">
        <f>AN27/AN30*10+BA27</f>
        <v>1.25</v>
      </c>
      <c r="AP27" s="123">
        <f>AO27*10000000+BI27*100+AM27/AM30*10+AI27/AI30*1++IF(AQ27=0,ROW(),AQ27)/2000000</f>
        <v>12500002.495701246</v>
      </c>
      <c r="AQ27" s="126">
        <f>VLOOKUP(AE27,db_fifarank,2,FALSE)</f>
        <v>1503.5</v>
      </c>
      <c r="AR27" s="125">
        <f>AP27/AP30</f>
        <v>0.14285715389721937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10 - 8</v>
      </c>
      <c r="P28" s="34">
        <f>L28*3+M28</f>
        <v>6</v>
      </c>
      <c r="R28" s="123">
        <f>DATE(2026,6,17)+TIME(9,0,0)+gmt_delta</f>
        <v>46190.833333333336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1</v>
      </c>
      <c r="AE28" s="124" t="str">
        <f>VLOOKUP("Australia",T,lang,FALSE)</f>
        <v>Australia</v>
      </c>
      <c r="AF28" s="123">
        <f>COUNTIF($S$7:$T$78,"=" &amp; AE28 &amp; "_win")</f>
        <v>2</v>
      </c>
      <c r="AG28" s="123">
        <f>COUNTIF($S$7:$T$78,"=" &amp; AE28 &amp; "_draw")</f>
        <v>1</v>
      </c>
      <c r="AH28" s="123">
        <f>COUNTIF($S$7:$T$78,"=" &amp; AE28 &amp; "_lose")</f>
        <v>0</v>
      </c>
      <c r="AI28" s="123">
        <f>SUMIF($E$7:$E$78,$AE28,$F$7:$F$78) + SUMIF($H$7:$H$78,$AE28,$G$7:$G$78)</f>
        <v>9</v>
      </c>
      <c r="AJ28" s="123">
        <f>SUMIF($E$7:$E$78,$AE28,$G$7:$G$78) + SUMIF($H$7:$H$78,$AE28,$F$7:$F$78)</f>
        <v>5</v>
      </c>
      <c r="AL28" s="123">
        <f>AI28-AJ28</f>
        <v>4</v>
      </c>
      <c r="AM28" s="123">
        <f>AL28-AL30</f>
        <v>8</v>
      </c>
      <c r="AN28" s="123">
        <f>AF28*3+AG28</f>
        <v>7</v>
      </c>
      <c r="AO28" s="123">
        <f>AN28/AN30*10+BA28</f>
        <v>8.75</v>
      </c>
      <c r="AP28" s="123">
        <f>AO28*10000000+BI28*100+AM28/AM30*10+AI28/AI30*1++IF(AQ28=0,ROW(),AQ28)/2000000</f>
        <v>87500009.707861036</v>
      </c>
      <c r="AQ28" s="126">
        <f>VLOOKUP(AE28,db_fifarank,2,FALSE)</f>
        <v>1580.67</v>
      </c>
      <c r="AR28" s="125">
        <f>AP28/AP30</f>
        <v>0.99999998857143002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Portugal</v>
      </c>
      <c r="BT28" s="61">
        <v>1</v>
      </c>
      <c r="BU28" s="63"/>
      <c r="BV28" s="25">
        <v>0</v>
      </c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0</v>
      </c>
      <c r="G29" s="20">
        <v>1</v>
      </c>
      <c r="H29" s="80" t="str">
        <f>AE69</f>
        <v>DR Congo</v>
      </c>
      <c r="J29" s="33" t="str">
        <f>VLOOKUP(3,AD26:AN29,2,FALSE)</f>
        <v>Turkey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5 - 9</v>
      </c>
      <c r="P29" s="34">
        <f>L29*3+M29</f>
        <v>2</v>
      </c>
      <c r="R29" s="123">
        <f>DATE(2026,6,17)+TIME(6,0,0)+gmt_delta</f>
        <v>46190.708333333336</v>
      </c>
      <c r="S29" s="127" t="str">
        <f t="shared" si="1"/>
        <v>Portugal_lose</v>
      </c>
      <c r="T29" s="127" t="str">
        <f t="shared" si="2"/>
        <v>DR Congo_win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-1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0</v>
      </c>
      <c r="AG29" s="123">
        <f>COUNTIF($S$7:$T$78,"=" &amp; AE29 &amp; "_draw")</f>
        <v>2</v>
      </c>
      <c r="AH29" s="123">
        <f>COUNTIF($S$7:$T$78,"=" &amp; AE29 &amp; "_lose")</f>
        <v>1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9</v>
      </c>
      <c r="AL29" s="123">
        <f>AI29-AJ29</f>
        <v>-4</v>
      </c>
      <c r="AM29" s="123">
        <f>AL29-AL30</f>
        <v>0</v>
      </c>
      <c r="AN29" s="123">
        <f>AF29*3+AG29</f>
        <v>2</v>
      </c>
      <c r="AO29" s="123">
        <f>AN29/AN30*10+BA29</f>
        <v>2.5</v>
      </c>
      <c r="AP29" s="123">
        <f>AO29*10000000+BI29*100+AM29/AM30*10+AI29/AI30*1++IF(AQ29=0,ROW(),AQ29)/2000000</f>
        <v>25000000.455344975</v>
      </c>
      <c r="AQ29" s="126">
        <f>VLOOKUP(AE29,db_fifarank,2,FALSE)</f>
        <v>1599.04</v>
      </c>
      <c r="AR29" s="125">
        <f>AP29/AP30</f>
        <v>0.28571425595378774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>
        <v>1</v>
      </c>
      <c r="BW29" s="113">
        <f>IF(BW28="","",BT29*1000+BU29*10+BV29)</f>
        <v>1001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3 - 5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11</v>
      </c>
      <c r="AL30" s="123">
        <f>MIN(AL26:AL29)</f>
        <v>-4</v>
      </c>
      <c r="AM30" s="123">
        <f>MAX(AM26:AM29)+1</f>
        <v>9</v>
      </c>
      <c r="AN30" s="123">
        <f>MAX(AN26:AN29)+1</f>
        <v>8</v>
      </c>
      <c r="AO30" s="123">
        <f>MAX(AO26:AO29)+1</f>
        <v>9.75</v>
      </c>
      <c r="AP30" s="123">
        <f>MAX(AP26:AP29)+1</f>
        <v>87500010.707861036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0</v>
      </c>
      <c r="G31" s="20">
        <v>2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Republic_lose</v>
      </c>
      <c r="T31" s="127" t="str">
        <f t="shared" si="2"/>
        <v>South Africa_win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-1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3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3</v>
      </c>
      <c r="AE32" s="124" t="str">
        <f>VLOOKUP("Germany",T,lang,FALSE)</f>
        <v>Germany</v>
      </c>
      <c r="AF32" s="123">
        <f>COUNTIF($S$7:$T$78,"=" &amp; AE32 &amp; "_win")</f>
        <v>1</v>
      </c>
      <c r="AG32" s="123">
        <f>COUNTIF($S$7:$T$78,"=" &amp; AE32 &amp; "_draw")</f>
        <v>1</v>
      </c>
      <c r="AH32" s="123">
        <f>COUNTIF($S$7:$T$78,"=" &amp; AE32 &amp; "_lose")</f>
        <v>1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5</v>
      </c>
      <c r="AL32" s="123">
        <f>AI32-AJ32</f>
        <v>3</v>
      </c>
      <c r="AM32" s="123">
        <f>AL32-AL36</f>
        <v>13</v>
      </c>
      <c r="AN32" s="123">
        <f>AF32*3+AG32</f>
        <v>4</v>
      </c>
      <c r="AO32" s="123">
        <f>AN32/AN36*10+BA32</f>
        <v>5</v>
      </c>
      <c r="AP32" s="123">
        <f>AO32*10000000+BI32*100+AM32/AM36*10+AI32/AI36*1++IF(AQ32=0,ROW(),AQ32)/2000000</f>
        <v>50000009.556420736</v>
      </c>
      <c r="AQ32" s="126">
        <f>VLOOKUP(AE32,db_fifarank,2,FALSE)</f>
        <v>1730.37</v>
      </c>
      <c r="AR32" s="125">
        <f>AP32/AP36</f>
        <v>0.57142860807723805</v>
      </c>
      <c r="AS32" s="125" t="str">
        <f>IF(SUM(AF32:AH35)=12,J33,"1E")</f>
        <v>Ecuador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0</v>
      </c>
      <c r="CB32" s="63"/>
      <c r="CC32" s="25">
        <v>1</v>
      </c>
      <c r="CD32" s="116">
        <f>IF(OR(CA32="",CA33="",AND(CB32="",CB33&lt;&gt;""),AND(CB33="",CB32&lt;&gt;""),AND(CC32="",CC33&lt;&gt;""),AND(CC33="",CC32&lt;&gt;"")),"",CA32*1000+CB32*10+CC32)</f>
        <v>1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3</v>
      </c>
      <c r="G33" s="20">
        <v>0</v>
      </c>
      <c r="H33" s="80" t="str">
        <f>AE16</f>
        <v>Qatar</v>
      </c>
      <c r="J33" s="30" t="str">
        <f>VLOOKUP(1,AD32:AN35,2,FALSE)</f>
        <v>Ecuador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7 - 3</v>
      </c>
      <c r="P33" s="32">
        <f>L33*3+M33</f>
        <v>7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12</v>
      </c>
      <c r="AL33" s="123">
        <f>AI33-AJ33</f>
        <v>-10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0.22286954722222221</v>
      </c>
      <c r="AQ33" s="126">
        <f>VLOOKUP(AE33,db_fifarank,2,FALSE)</f>
        <v>1294.6500000000001</v>
      </c>
      <c r="AR33" s="125">
        <f>AP33/AP36</f>
        <v>2.5470802162205704E-9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Korea Republic</v>
      </c>
      <c r="CA33" s="62">
        <v>0</v>
      </c>
      <c r="CB33" s="64"/>
      <c r="CC33" s="27">
        <v>0</v>
      </c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7 - 4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7</v>
      </c>
      <c r="AJ34" s="123">
        <f>SUMIF($E$7:$E$78,$AE34,$G$7:$G$78) + SUMIF($H$7:$H$78,$AE34,$F$7:$F$78)</f>
        <v>4</v>
      </c>
      <c r="AL34" s="123">
        <f>AI34-AJ34</f>
        <v>3</v>
      </c>
      <c r="AM34" s="123">
        <f>AL34-AL36</f>
        <v>13</v>
      </c>
      <c r="AN34" s="123">
        <f>AF34*3+AG34</f>
        <v>6</v>
      </c>
      <c r="AO34" s="123">
        <f>AN34/AN36*10+BA34</f>
        <v>7.5</v>
      </c>
      <c r="AP34" s="123">
        <f>AO34*10000000+BI34*100+AM34/AM36*10+AI34/AI36*1++IF(AQ34=0,ROW(),AQ34)/2000000</f>
        <v>75000009.445210934</v>
      </c>
      <c r="AQ34" s="126">
        <f>VLOOKUP(AE34,db_fifarank,2,FALSE)</f>
        <v>1532.98</v>
      </c>
      <c r="AR34" s="125">
        <f>AP34/AP36</f>
        <v>0.85714285623677655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Australia</v>
      </c>
      <c r="BM34" s="61">
        <v>3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3000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0</v>
      </c>
      <c r="G35" s="20">
        <v>0</v>
      </c>
      <c r="H35" s="80" t="str">
        <f>AE22</f>
        <v>Haiti</v>
      </c>
      <c r="J35" s="33" t="str">
        <f>VLOOKUP(3,AD32:AN35,2,FALSE)</f>
        <v>Germany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8 - 5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Brazil_draw</v>
      </c>
      <c r="T35" s="127" t="str">
        <f t="shared" si="2"/>
        <v>Haiti_draw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0</v>
      </c>
      <c r="AD35" s="123">
        <f>COUNTIF(AR32:AR35,CONCATENATE("&gt;=",AR35))</f>
        <v>1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1</v>
      </c>
      <c r="AH35" s="123">
        <f>COUNTIF($S$7:$T$78,"=" &amp; AE35 &amp; "_lose")</f>
        <v>0</v>
      </c>
      <c r="AI35" s="123">
        <f>SUMIF($E$7:$E$78,$AE35,$F$7:$F$78) + SUMIF($H$7:$H$78,$AE35,$G$7:$G$78)</f>
        <v>7</v>
      </c>
      <c r="AJ35" s="123">
        <f>SUMIF($E$7:$E$78,$AE35,$G$7:$G$78) + SUMIF($H$7:$H$78,$AE35,$F$7:$F$78)</f>
        <v>3</v>
      </c>
      <c r="AL35" s="123">
        <f>AI35-AJ35</f>
        <v>4</v>
      </c>
      <c r="AM35" s="123">
        <f>AL35-AL36</f>
        <v>14</v>
      </c>
      <c r="AN35" s="123">
        <f>AF35*3+AG35</f>
        <v>7</v>
      </c>
      <c r="AO35" s="123">
        <f>AN35/AN36*10+BA35</f>
        <v>8.75</v>
      </c>
      <c r="AP35" s="123">
        <f>AO35*10000000+BI35*100+AM35/AM36*10+AI35/AI36*1++IF(AQ35=0,ROW(),AQ35)/2000000</f>
        <v>87500010.111908495</v>
      </c>
      <c r="AQ35" s="126">
        <f>VLOOKUP(AE35,db_fifarank,2,FALSE)</f>
        <v>1594.78</v>
      </c>
      <c r="AR35" s="125">
        <f>AP35/AP36</f>
        <v>0.99999998857143002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4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2 - 12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4</v>
      </c>
      <c r="AI36" s="123">
        <f>MAX(AI32:AI35)+1</f>
        <v>9</v>
      </c>
      <c r="AL36" s="123">
        <f>MIN(AL32:AL35)</f>
        <v>-10</v>
      </c>
      <c r="AM36" s="123">
        <f>MAX(AM32:AM35)+1</f>
        <v>15</v>
      </c>
      <c r="AN36" s="123">
        <f>MAX(AN32:AN35)+1</f>
        <v>8</v>
      </c>
      <c r="AO36" s="123">
        <f>MAX(AO32:AO35)+1</f>
        <v>9.75</v>
      </c>
      <c r="AP36" s="123">
        <f>MAX(AP32:AP35)+1</f>
        <v>87500011.111908495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Australia</v>
      </c>
      <c r="BT36" s="61">
        <v>0</v>
      </c>
      <c r="BU36" s="63"/>
      <c r="BV36" s="25">
        <v>0</v>
      </c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5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States_lose</v>
      </c>
      <c r="T37" s="127" t="str">
        <f t="shared" si="2"/>
        <v>Australia_win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-1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Korea Republic</v>
      </c>
      <c r="BT37" s="62">
        <v>0</v>
      </c>
      <c r="BU37" s="64"/>
      <c r="BV37" s="27">
        <v>1</v>
      </c>
      <c r="BW37" s="112">
        <f>IF(BW36="","",BT37*1000+BU37*10+BV37)</f>
        <v>1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Netherlands</v>
      </c>
      <c r="CO37" s="61">
        <v>0</v>
      </c>
      <c r="CP37" s="63"/>
      <c r="CQ37" s="25">
        <v>0</v>
      </c>
      <c r="CR37" s="111">
        <f>IF(OR(CO37="",CO38="",AND(CP37="",CP38&lt;&gt;""),AND(CP38="",CP37&lt;&gt;""),AND(CQ37="",CQ38&lt;&gt;""),AND(CQ38="",CQ37&lt;&gt;"")),"",CO37*1000+CP37*10+CQ37)</f>
        <v>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0</v>
      </c>
      <c r="AH38" s="123">
        <f>COUNTIF($S$7:$T$78,"=" &amp; AE38 &amp; "_lose")</f>
        <v>1</v>
      </c>
      <c r="AI38" s="123">
        <f>SUMIF($E$7:$E$78,$AE38,$F$7:$F$78) + SUMIF($H$7:$H$78,$AE38,$G$7:$G$78)</f>
        <v>9</v>
      </c>
      <c r="AJ38" s="123">
        <f>SUMIF($E$7:$E$78,$AE38,$G$7:$G$78) + SUMIF($H$7:$H$78,$AE38,$F$7:$F$78)</f>
        <v>4</v>
      </c>
      <c r="AL38" s="123">
        <f>AI38-AJ38</f>
        <v>5</v>
      </c>
      <c r="AM38" s="123">
        <f>AL38-AL42</f>
        <v>8</v>
      </c>
      <c r="AN38" s="123">
        <f>AF38*3+AG38</f>
        <v>6</v>
      </c>
      <c r="AO38" s="123">
        <f>AN38/AN42*10+BA38</f>
        <v>8.5714285714285712</v>
      </c>
      <c r="AP38" s="123">
        <f>AO38*10000000+BI38*100+AM38/AM42*10+AI38/AI42*1++IF(AQ38=0,ROW(),AQ38)/2000000</f>
        <v>85714295.504053548</v>
      </c>
      <c r="AQ38" s="126">
        <f>VLOOKUP(AE38,db_fifarank,2,FALSE)</f>
        <v>1757.87</v>
      </c>
      <c r="AR38" s="125">
        <f>AP38/AP42</f>
        <v>0.99999998833333481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Egypt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France</v>
      </c>
      <c r="CO38" s="62">
        <v>0</v>
      </c>
      <c r="CP38" s="64"/>
      <c r="CQ38" s="27">
        <v>1</v>
      </c>
      <c r="CR38" s="111">
        <f>IF(CR37="","",CO38*1000+CP38*10+CQ38)</f>
        <v>1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3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0</v>
      </c>
      <c r="N39" s="31">
        <f>VLOOKUP(1,AD38:AN41,5,FALSE)</f>
        <v>1</v>
      </c>
      <c r="O39" s="31" t="str">
        <f>VLOOKUP(1,AD38:AN41,6,FALSE) &amp; " - " &amp; VLOOKUP(1,AD38:AN41,7,FALSE)</f>
        <v>9 - 4</v>
      </c>
      <c r="P39" s="32">
        <f>L39*3+M39</f>
        <v>6</v>
      </c>
      <c r="R39" s="123">
        <f>DATE(2026,6,20)+TIME(9,0,0)+gmt_delta</f>
        <v>46193.833333333336</v>
      </c>
      <c r="S39" s="127" t="str">
        <f t="shared" si="1"/>
        <v>Germany_lose</v>
      </c>
      <c r="T39" s="127" t="str">
        <f t="shared" si="2"/>
        <v>Ivory Coast_win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-1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4</v>
      </c>
      <c r="AL39" s="123">
        <f>AI39-AJ39</f>
        <v>0</v>
      </c>
      <c r="AM39" s="123">
        <f>AL39-AL42</f>
        <v>3</v>
      </c>
      <c r="AN39" s="123">
        <f>AF39*3+AG39</f>
        <v>4</v>
      </c>
      <c r="AO39" s="123">
        <f>AN39/AN42*10+BA39</f>
        <v>6.6948682385575582</v>
      </c>
      <c r="AP39" s="123">
        <f>AO39*10000000+BI39*100+AM39/AM42*10+AI39/AI42*1++IF(AQ39=0,ROW(),AQ39)/2000000</f>
        <v>66948784.177991562</v>
      </c>
      <c r="AQ39" s="126">
        <f>VLOOKUP(AE39,db_fifarank,2,FALSE)</f>
        <v>1660.43</v>
      </c>
      <c r="AR39" s="125">
        <f>AP39/AP42</f>
        <v>0.78106905042177488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Korea Republic</v>
      </c>
      <c r="BM39" s="62">
        <v>2</v>
      </c>
      <c r="BN39" s="64"/>
      <c r="BO39" s="27"/>
      <c r="BP39" s="112">
        <f>IF(BP38="","",BM39*1000+BN39*10+BO39)</f>
        <v>2000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4</v>
      </c>
      <c r="G40" s="20">
        <v>1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4 - 4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5</v>
      </c>
      <c r="AL40" s="123">
        <f>AI40-AJ40</f>
        <v>-2</v>
      </c>
      <c r="AM40" s="123">
        <f>AL40-AL42</f>
        <v>1</v>
      </c>
      <c r="AN40" s="123">
        <f>AF40*3+AG40</f>
        <v>4</v>
      </c>
      <c r="AO40" s="123">
        <f>AN40/AN42*10+BA40</f>
        <v>6.6948682385575582</v>
      </c>
      <c r="AP40" s="123">
        <f>AO40*10000000+BI40*100+AM40/AM42*10+AI40/AI42*1++IF(AQ40=0,ROW(),AQ40)/2000000</f>
        <v>66948781.855696499</v>
      </c>
      <c r="AQ40" s="126">
        <f>VLOOKUP(AE40,db_fifarank,2,FALSE)</f>
        <v>1514.77</v>
      </c>
      <c r="AR40" s="125">
        <f>AP40/AP42</f>
        <v>0.78106902332833583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4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3 - 5</v>
      </c>
      <c r="P41" s="34">
        <f>L41*3+M41</f>
        <v>4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0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5</v>
      </c>
      <c r="AL41" s="123">
        <f>AI41-AJ41</f>
        <v>-3</v>
      </c>
      <c r="AM41" s="123">
        <f>AL41-AL42</f>
        <v>0</v>
      </c>
      <c r="AN41" s="123">
        <f>AF41*3+AG41</f>
        <v>3</v>
      </c>
      <c r="AO41" s="123">
        <f>AN41/AN42*10+BA41</f>
        <v>4.2857142857142856</v>
      </c>
      <c r="AP41" s="123">
        <f>AO41*10000000+BI41*100+AM41/AM42*10+AI41/AI42*1++IF(AQ41=0,ROW(),AQ41)/2000000</f>
        <v>42857143.057884388</v>
      </c>
      <c r="AQ41" s="126">
        <f>VLOOKUP(AE41,db_fifarank,2,FALSE)</f>
        <v>1483.05</v>
      </c>
      <c r="AR41" s="125">
        <f>AP41/AP42</f>
        <v>0.4999999394016798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0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1</v>
      </c>
      <c r="M42" s="36">
        <f>VLOOKUP(4,AD38:AN41,4,FALSE)</f>
        <v>0</v>
      </c>
      <c r="N42" s="36">
        <f>VLOOKUP(4,AD38:AN41,5,FALSE)</f>
        <v>2</v>
      </c>
      <c r="O42" s="36" t="str">
        <f>VLOOKUP(4,AD38:AN41,6,FALSE) &amp; " - " &amp; VLOOKUP(4,AD38:AN41,7,FALSE)</f>
        <v>2 - 5</v>
      </c>
      <c r="P42" s="37">
        <f>L42*3+M42</f>
        <v>3</v>
      </c>
      <c r="R42" s="123">
        <f>DATE(2026,6,20)+TIME(17,0,0)+gmt_delta</f>
        <v>46194.166666666672</v>
      </c>
      <c r="S42" s="127" t="str">
        <f t="shared" si="1"/>
        <v>Tunisia_win</v>
      </c>
      <c r="T42" s="127" t="str">
        <f t="shared" si="2"/>
        <v>Japan_lose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1</v>
      </c>
      <c r="AF42" s="123">
        <f t="shared" ref="AF42:AH42" si="18">MAX(AF38:AF41)-MIN(AF38:AF41)+1</f>
        <v>2</v>
      </c>
      <c r="AG42" s="123">
        <f t="shared" si="18"/>
        <v>2</v>
      </c>
      <c r="AH42" s="123">
        <f t="shared" si="18"/>
        <v>2</v>
      </c>
      <c r="AI42" s="123">
        <f>MAX(AI38:AI41)+1</f>
        <v>10</v>
      </c>
      <c r="AL42" s="123">
        <f>MIN(AL38:AL41)</f>
        <v>-3</v>
      </c>
      <c r="AM42" s="123">
        <f>MAX(AM38:AM41)+1</f>
        <v>9</v>
      </c>
      <c r="AN42" s="123">
        <f>MAX(AN38:AN41)+1</f>
        <v>7</v>
      </c>
      <c r="AO42" s="123">
        <f>MAX(AO38:AO41)+1</f>
        <v>9.5714285714285712</v>
      </c>
      <c r="AP42" s="123">
        <f>MAX(AP38:AP41)+1</f>
        <v>85714296.504053548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Morocco</v>
      </c>
      <c r="BM42" s="61">
        <v>1</v>
      </c>
      <c r="BN42" s="63"/>
      <c r="BO42" s="25">
        <v>1</v>
      </c>
      <c r="BP42" s="112">
        <f>IF(OR(BM42="",BM43="",AND(BN42="",BN43&lt;&gt;""),AND(BN43="",BN42&lt;&gt;""),AND(BO42="",BO43&lt;&gt;""),AND(BO43="",BO42&lt;&gt;"")),"",BM42*1000+BN42*10+BO42)</f>
        <v>1001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/>
      <c r="BO43" s="27">
        <v>0</v>
      </c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2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3</v>
      </c>
      <c r="AL44" s="123">
        <f>AI44-AJ44</f>
        <v>2</v>
      </c>
      <c r="AM44" s="123">
        <f>AL44-AL48</f>
        <v>8</v>
      </c>
      <c r="AN44" s="123">
        <f>AF44*3+AG44</f>
        <v>7</v>
      </c>
      <c r="AO44" s="123">
        <f>AN44/AN48*10+BA44</f>
        <v>9.7306451612903224</v>
      </c>
      <c r="AP44" s="123">
        <f>AO44*10000000+BI44*100+AM44/AM48*10+AI44/AI48*1++IF(AQ44=0,ROW(),AQ44)/2000000</f>
        <v>97306555.892572418</v>
      </c>
      <c r="AQ44" s="126">
        <f>VLOOKUP(AE44,db_fifarank,2,FALSE)</f>
        <v>1734.71</v>
      </c>
      <c r="AR44" s="125">
        <f>AP44/AP48</f>
        <v>0.99999994891050714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2</v>
      </c>
      <c r="AW44" s="126" cm="1">
        <f t="array" ref="AW44">SUMPRODUCT(($E$7:$E$78=AE44)*($U$7:$U$78)*($G$7:$G$78))+SUMPRODUCT(($H$7:$H$78=AE44)*($U$7:$U$78)*($F$7:$F$78))</f>
        <v>2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50.666666666666664</v>
      </c>
      <c r="BA44" s="126">
        <f>AZ44/AZ48</f>
        <v>0.98064516129032253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2</v>
      </c>
      <c r="BE44" s="126" cm="1">
        <f t="array" ref="BE44">SUMPRODUCT(($E$7:$E$78=AE44)*($X$7:$X$78)*($G$7:$G$78))+SUMPRODUCT(($H$7:$H$78=AE44)*($X$7:$X$78)*($F$7:$F$78))</f>
        <v>2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50.666666666666664</v>
      </c>
      <c r="BI44" s="126">
        <f>BH44/BH48</f>
        <v>0.98064516129032253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Morocco</v>
      </c>
      <c r="BT44" s="61">
        <v>1</v>
      </c>
      <c r="BU44" s="63"/>
      <c r="BV44" s="25">
        <v>1</v>
      </c>
      <c r="BW44" s="112">
        <f>IF(OR(BT44="",BT45="",AND(BU44="",BU45&lt;&gt;""),AND(BU45="",BU44&lt;&gt;""),AND(BV44="",BV45&lt;&gt;""),AND(BV45="",BV44&lt;&gt;"")),"",BT44*1000+BU44*10+BV44)</f>
        <v>1001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9 - 2</v>
      </c>
      <c r="P45" s="32">
        <f>L45*3+M45</f>
        <v>7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9</v>
      </c>
      <c r="AJ45" s="123">
        <f>SUMIF($E$7:$E$78,$AE45,$G$7:$G$78) + SUMIF($H$7:$H$78,$AE45,$F$7:$F$78)</f>
        <v>2</v>
      </c>
      <c r="AL45" s="123">
        <f>AI45-AJ45</f>
        <v>7</v>
      </c>
      <c r="AM45" s="123">
        <f>AL45-AL48</f>
        <v>13</v>
      </c>
      <c r="AN45" s="123">
        <f>AF45*3+AG45</f>
        <v>7</v>
      </c>
      <c r="AO45" s="123">
        <f>AN45/AN48*10+BA45</f>
        <v>9.7306451612903224</v>
      </c>
      <c r="AP45" s="123">
        <f>AO45*10000000+BI45*100+AM45/AM48*10+AI45/AI48*1++IF(AQ45=0,ROW(),AQ45)/2000000</f>
        <v>97306559.863915265</v>
      </c>
      <c r="AQ45" s="126">
        <f>VLOOKUP(AE45,db_fifarank,2,FALSE)</f>
        <v>1563.24</v>
      </c>
      <c r="AR45" s="125">
        <f>AP45/AP48</f>
        <v>0.9999999897232007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2</v>
      </c>
      <c r="AW45" s="126" cm="1">
        <f t="array" ref="AW45">SUMPRODUCT(($E$7:$E$78=AE45)*($U$7:$U$78)*($G$7:$G$78))+SUMPRODUCT(($H$7:$H$78=AE45)*($U$7:$U$78)*($F$7:$F$78))</f>
        <v>2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50.666666666666664</v>
      </c>
      <c r="BA45" s="126">
        <f>AZ45/AZ48</f>
        <v>0.98064516129032253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2</v>
      </c>
      <c r="BE45" s="126" cm="1">
        <f t="array" ref="BE45">SUMPRODUCT(($E$7:$E$78=AE45)*($X$7:$X$78)*($G$7:$G$78))+SUMPRODUCT(($H$7:$H$78=AE45)*($X$7:$X$78)*($F$7:$F$78))</f>
        <v>2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50.666666666666664</v>
      </c>
      <c r="BI45" s="126">
        <f>BH45/BH48</f>
        <v>0.98064516129032253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Senegal</v>
      </c>
      <c r="BT45" s="62">
        <v>1</v>
      </c>
      <c r="BU45" s="64"/>
      <c r="BV45" s="27">
        <v>0</v>
      </c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3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2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5 - 3</v>
      </c>
      <c r="P46" s="34">
        <f>L46*3+M46</f>
        <v>7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6</v>
      </c>
      <c r="AL46" s="123">
        <f>AI46-AJ46</f>
        <v>-3</v>
      </c>
      <c r="AM46" s="123">
        <f>AL46-AL48</f>
        <v>3</v>
      </c>
      <c r="AN46" s="123">
        <f>AF46*3+AG46</f>
        <v>3</v>
      </c>
      <c r="AO46" s="123">
        <f>AN46/AN48*10+BA46</f>
        <v>3.75</v>
      </c>
      <c r="AP46" s="123">
        <f>AO46*10000000+BI46*100+AM46/AM48*10+AI46/AI48*1++IF(AQ46=0,ROW(),AQ46)/2000000</f>
        <v>37500002.443664789</v>
      </c>
      <c r="AQ46" s="126">
        <f>VLOOKUP(AE46,db_fifarank,2,FALSE)</f>
        <v>1615.3</v>
      </c>
      <c r="AR46" s="125">
        <f>AP46/AP48</f>
        <v>0.385380000184254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3 - 6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6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6.5852188620266595E-12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3</v>
      </c>
      <c r="BN47" s="64"/>
      <c r="BO47" s="27"/>
      <c r="BP47" s="112">
        <f>IF(BP46="","",BM47*1000+BN47*10+BO47)</f>
        <v>3000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5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0 - 6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2</v>
      </c>
      <c r="AH48" s="123">
        <f t="shared" si="24"/>
        <v>4</v>
      </c>
      <c r="AI48" s="123">
        <f>MAX(AI44:AI47)+1</f>
        <v>10</v>
      </c>
      <c r="AL48" s="123">
        <f>MIN(AL44:AL47)</f>
        <v>-6</v>
      </c>
      <c r="AM48" s="123">
        <f>MAX(AM44:AM47)+1</f>
        <v>14</v>
      </c>
      <c r="AN48" s="123">
        <f>MAX(AN44:AN47)+1</f>
        <v>8</v>
      </c>
      <c r="AO48" s="123">
        <f>MAX(AO44:AO47)+1</f>
        <v>10.730645161290322</v>
      </c>
      <c r="AP48" s="123">
        <f>MAX(AP44:AP47)+1</f>
        <v>97306560.863915265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3</v>
      </c>
      <c r="AW48" s="126">
        <f>MAX(AW44:AW47)-MIN(AW44:AW47)+1</f>
        <v>3</v>
      </c>
      <c r="AY48" s="126">
        <f>MAX(AY44:AY47)-MIN(AY44:AY47)+1</f>
        <v>1</v>
      </c>
      <c r="AZ48" s="126">
        <f>MAX(AZ44:AZ47)+1</f>
        <v>51.666666666666664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3</v>
      </c>
      <c r="BE48" s="126">
        <f>MAX(BE44:BE47)-MIN(BE44:BE47)+1</f>
        <v>3</v>
      </c>
      <c r="BG48" s="126">
        <f>MAX(BG44:BG47)-MIN(BG44:BG47)+1</f>
        <v>1</v>
      </c>
      <c r="BH48" s="126">
        <f>MAX(BH44:BH47)+1</f>
        <v>51.666666666666664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Morocco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1</v>
      </c>
      <c r="CP48" s="63"/>
      <c r="CQ48" s="25">
        <v>1</v>
      </c>
      <c r="CR48" s="111">
        <f>IF(OR(CO48="",CO49="",AND(CP48="",CP49&lt;&gt;""),AND(CP49="",CP48&lt;&gt;""),AND(CQ48="",CQ49&lt;&gt;""),AND(CQ49="",CQ48&lt;&gt;"")),"",CO48*1000+CP48*10+CQ48)</f>
        <v>1001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3</v>
      </c>
      <c r="G49" s="20">
        <v>2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France</v>
      </c>
      <c r="CA49" s="62">
        <v>4</v>
      </c>
      <c r="CB49" s="64"/>
      <c r="CC49" s="27"/>
      <c r="CD49" s="113">
        <f>IF(CD48="","",CA49*1000+CB49*10+CC49)</f>
        <v>4000</v>
      </c>
      <c r="CK49" s="114"/>
      <c r="CL49" s="115"/>
      <c r="CM49" s="132"/>
      <c r="CN49" s="26" t="str">
        <f>IF(CK55&gt;CK56,CG56,IF(CK55&lt;CK56,CG55,""))</f>
        <v>England</v>
      </c>
      <c r="CO49" s="62">
        <v>1</v>
      </c>
      <c r="CP49" s="64"/>
      <c r="CQ49" s="27">
        <v>0</v>
      </c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2</v>
      </c>
      <c r="AL50" s="123">
        <f>AI50-AJ50</f>
        <v>5</v>
      </c>
      <c r="AM50" s="123">
        <f>AL50-AL54</f>
        <v>11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90000010.042604879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South Africa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1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7 - 2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7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0.12568306500000001</v>
      </c>
      <c r="AQ51" s="126">
        <f>VLOOKUP(AE51,db_fifarank,2,FALSE)</f>
        <v>1366.13</v>
      </c>
      <c r="AR51" s="125">
        <f>AP51/AP54</f>
        <v>1.39647832865824E-9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Germany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1</v>
      </c>
      <c r="M52" s="23">
        <f>VLOOKUP(2,AD50:AN53,4,FALSE)</f>
        <v>1</v>
      </c>
      <c r="N52" s="23">
        <f>VLOOKUP(2,AD50:AN53,5,FALSE)</f>
        <v>1</v>
      </c>
      <c r="O52" s="23" t="str">
        <f>VLOOKUP(2,AD50:AN53,6,FALSE) &amp; " - " &amp; VLOOKUP(2,AD50:AN53,7,FALSE)</f>
        <v>4 - 3</v>
      </c>
      <c r="P52" s="34">
        <f>L52*3+M52</f>
        <v>4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1</v>
      </c>
      <c r="AH52" s="123">
        <f>COUNTIF($S$7:$T$78,"=" &amp; AE52 &amp; "_lose")</f>
        <v>1</v>
      </c>
      <c r="AI52" s="123">
        <f>SUMIF($E$7:$E$78,$AE52,$F$7:$F$78) + SUMIF($H$7:$H$78,$AE52,$G$7:$G$78)</f>
        <v>4</v>
      </c>
      <c r="AJ52" s="123">
        <f>SUMIF($E$7:$E$78,$AE52,$G$7:$G$78) + SUMIF($H$7:$H$78,$AE52,$F$7:$F$78)</f>
        <v>4</v>
      </c>
      <c r="AL52" s="123">
        <f>AI52-AJ52</f>
        <v>0</v>
      </c>
      <c r="AM52" s="123">
        <f>AL52-AL54</f>
        <v>6</v>
      </c>
      <c r="AN52" s="123">
        <f>AF52*3+AG52</f>
        <v>4</v>
      </c>
      <c r="AO52" s="123">
        <f>AN52/AN54*10+BA52</f>
        <v>4.9805825242718447</v>
      </c>
      <c r="AP52" s="123">
        <f>AO52*10000000+BI52*100+AM52/AM54*10+AI52/AI54*1++IF(AQ52=0,ROW(),AQ52)/2000000</f>
        <v>49805928.801681586</v>
      </c>
      <c r="AQ52" s="126">
        <f>VLOOKUP(AE52,db_fifarank,2,FALSE)</f>
        <v>1421.43</v>
      </c>
      <c r="AR52" s="125">
        <f>AP52/AP54</f>
        <v>0.55339914100792809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South Africa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1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1</v>
      </c>
      <c r="N53" s="23">
        <f>VLOOKUP(3,AD50:AN53,5,FALSE)</f>
        <v>1</v>
      </c>
      <c r="O53" s="23" t="str">
        <f>VLOOKUP(3,AD50:AN53,6,FALSE) &amp; " - " &amp; VLOOKUP(3,AD50:AN53,7,FALSE)</f>
        <v>4 - 4</v>
      </c>
      <c r="P53" s="34">
        <f>L53*3+M53</f>
        <v>4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1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3</v>
      </c>
      <c r="AL53" s="123">
        <f>AI53-AJ53</f>
        <v>1</v>
      </c>
      <c r="AM53" s="123">
        <f>AL53-AL54</f>
        <v>7</v>
      </c>
      <c r="AN53" s="123">
        <f>AF53*3+AG53</f>
        <v>4</v>
      </c>
      <c r="AO53" s="123">
        <f>AN53/AN54*10+BA53</f>
        <v>4.9805825242718447</v>
      </c>
      <c r="AP53" s="123">
        <f>AO53*10000000+BI53*100+AM53/AM54*10+AI53/AI54*1++IF(AQ53=0,ROW(),AQ53)/2000000</f>
        <v>49805929.635140739</v>
      </c>
      <c r="AQ53" s="126">
        <f>VLOOKUP(AE53,db_fifarank,2,FALSE)</f>
        <v>1673.07</v>
      </c>
      <c r="AR53" s="125">
        <f>AP53/AP54</f>
        <v>0.55339915026858422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50.5</v>
      </c>
      <c r="BA53" s="126">
        <f>AZ53/AZ54</f>
        <v>0.98058252427184467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50.5</v>
      </c>
      <c r="BI53" s="126">
        <f>BH53/BH54</f>
        <v>0.98058252427184467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France</v>
      </c>
      <c r="BT53" s="62">
        <v>3</v>
      </c>
      <c r="BU53" s="64"/>
      <c r="BV53" s="27"/>
      <c r="BW53" s="112">
        <f>IF(BW52="","",BT53*1000+BU53*10+BV53)</f>
        <v>3000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1</v>
      </c>
      <c r="G54" s="20">
        <v>2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1 - 7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Colombia_lose</v>
      </c>
      <c r="T54" s="127" t="str">
        <f t="shared" si="20"/>
        <v>DR Congo_win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-1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4</v>
      </c>
      <c r="AI54" s="123">
        <f>MAX(AI50:AI53)+1</f>
        <v>8</v>
      </c>
      <c r="AL54" s="123">
        <f>MIN(AL50:AL53)</f>
        <v>-6</v>
      </c>
      <c r="AM54" s="123">
        <f>MAX(AM50:AM53)+1</f>
        <v>12</v>
      </c>
      <c r="AN54" s="123">
        <f>MAX(AN50:AN53)+1</f>
        <v>10</v>
      </c>
      <c r="AO54" s="123">
        <f>MAX(AO50:AO53)+1</f>
        <v>10</v>
      </c>
      <c r="AP54" s="123">
        <f>MAX(AP50:AP53)+1</f>
        <v>90000011.042604879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Panama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0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Scotland_win</v>
      </c>
      <c r="T55" s="127" t="str">
        <f t="shared" si="20"/>
        <v>Brazil_lose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1</v>
      </c>
      <c r="BK55" s="132"/>
      <c r="BL55" s="26" t="str">
        <f>IF(group_round_completed,VLOOKUP('3rd places'!K3,AK80:AS91,9,FALSE),"3rd Group E/H/I/J/K")</f>
        <v>France</v>
      </c>
      <c r="BM55" s="62">
        <v>2</v>
      </c>
      <c r="BN55" s="64"/>
      <c r="BO55" s="27"/>
      <c r="BP55" s="112">
        <f>IF(BP54="","",BM55*1000+BN55*10+BO55)</f>
        <v>2000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France</v>
      </c>
      <c r="CH55" s="61">
        <v>1</v>
      </c>
      <c r="CI55" s="63"/>
      <c r="CJ55" s="25">
        <v>1</v>
      </c>
      <c r="CK55" s="116">
        <f>IF(OR(CH55="",CH56="",AND(CI55="",CI56&lt;&gt;""),AND(CI56="",CI55&lt;&gt;""),AND(CJ55="",CJ56&lt;&gt;""),AND(CJ56="",CJ55&lt;&gt;"")),"",CH55*1000+CI55*10+CJ55)</f>
        <v>1001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1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3</v>
      </c>
      <c r="AE56" s="124" t="str">
        <f>VLOOKUP("France",T,lang,FALSE)</f>
        <v>France</v>
      </c>
      <c r="AF56" s="123">
        <f>COUNTIF($S$7:$T$78,"=" &amp; AE56 &amp; "_win")</f>
        <v>1</v>
      </c>
      <c r="AG56" s="123">
        <f>COUNTIF($S$7:$T$78,"=" &amp; AE56 &amp; "_draw")</f>
        <v>1</v>
      </c>
      <c r="AH56" s="123">
        <f>COUNTIF($S$7:$T$78,"=" &amp; AE56 &amp; "_lose")</f>
        <v>1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4</v>
      </c>
      <c r="AL56" s="123">
        <f>AI56-AJ56</f>
        <v>4</v>
      </c>
      <c r="AM56" s="123">
        <f>AL56-AL60</f>
        <v>13</v>
      </c>
      <c r="AN56" s="123">
        <f>AF56*3+AG56</f>
        <v>4</v>
      </c>
      <c r="AO56" s="123">
        <f>AN56/AN60*10+BA56</f>
        <v>5</v>
      </c>
      <c r="AP56" s="123">
        <f>AO56*10000000+BI56*100+AM56/AM60*10+AI56/AI60*1++IF(AQ56=0,ROW(),AQ56)/2000000</f>
        <v>50000010.175541833</v>
      </c>
      <c r="AQ56" s="126">
        <f>VLOOKUP(AE56,db_fifarank,2,FALSE)</f>
        <v>1877.32</v>
      </c>
      <c r="AR56" s="125">
        <f>AP56/AP60</f>
        <v>0.57142862697034802</v>
      </c>
      <c r="AS56" s="125" t="str">
        <f>IF(SUM(AF56:AH59)=12,J57,"1I")</f>
        <v>Norway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England</v>
      </c>
      <c r="CH56" s="62">
        <v>1</v>
      </c>
      <c r="CI56" s="64"/>
      <c r="CJ56" s="27">
        <v>0</v>
      </c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2</v>
      </c>
      <c r="H57" s="80" t="str">
        <f>AE14</f>
        <v>Canada</v>
      </c>
      <c r="I57" s="69"/>
      <c r="J57" s="30" t="str">
        <f>VLOOKUP(1,AD56:AN59,2,FALSE)</f>
        <v>Norway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4 - 2</v>
      </c>
      <c r="P57" s="32">
        <f>L57*3+M57</f>
        <v>7</v>
      </c>
      <c r="R57" s="123">
        <f>DATE(2026,6,24)+TIME(8,0,0)+gmt_delta</f>
        <v>46197.791666666672</v>
      </c>
      <c r="S57" s="127" t="str">
        <f t="shared" si="19"/>
        <v>Switzerland_lose</v>
      </c>
      <c r="T57" s="127" t="str">
        <f t="shared" si="20"/>
        <v>Canada_win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-1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2</v>
      </c>
      <c r="AH57" s="123">
        <f>COUNTIF($S$7:$T$78,"=" &amp; AE57 &amp; "_lose")</f>
        <v>0</v>
      </c>
      <c r="AI57" s="123">
        <f>SUMIF($E$7:$E$78,$AE57,$F$7:$F$78) + SUMIF($H$7:$H$78,$AE57,$G$7:$G$78)</f>
        <v>7</v>
      </c>
      <c r="AJ57" s="123">
        <f>SUMIF($E$7:$E$78,$AE57,$G$7:$G$78) + SUMIF($H$7:$H$78,$AE57,$F$7:$F$78)</f>
        <v>4</v>
      </c>
      <c r="AL57" s="123">
        <f>AI57-AJ57</f>
        <v>3</v>
      </c>
      <c r="AM57" s="123">
        <f>AL57-AL60</f>
        <v>12</v>
      </c>
      <c r="AN57" s="123">
        <f>AF57*3+AG57</f>
        <v>5</v>
      </c>
      <c r="AO57" s="123">
        <f>AN57/AN60*10+BA57</f>
        <v>6.25</v>
      </c>
      <c r="AP57" s="123">
        <f>AO57*10000000+BI57*100+AM57/AM60*10+AI57/AI60*1++IF(AQ57=0,ROW(),AQ57)/2000000</f>
        <v>62500009.350050844</v>
      </c>
      <c r="AQ57" s="126">
        <f>VLOOKUP(AE57,db_fifarank,2,FALSE)</f>
        <v>1688.99</v>
      </c>
      <c r="AR57" s="125">
        <f>AP57/AP60</f>
        <v>0.7142857452057797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7 - 4</v>
      </c>
      <c r="P58" s="34">
        <f>L58*3+M58</f>
        <v>5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10</v>
      </c>
      <c r="AL58" s="123">
        <f>AI58-AJ58</f>
        <v>-9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0.11183468111111111</v>
      </c>
      <c r="AQ58" s="126">
        <f>VLOOKUP(AE58,db_fifarank,2,FALSE)</f>
        <v>1447.14</v>
      </c>
      <c r="AR58" s="125">
        <f>AP58/AP60</f>
        <v>1.2781105053904403E-9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0</v>
      </c>
      <c r="BN58" s="63"/>
      <c r="BO58" s="25">
        <v>1</v>
      </c>
      <c r="BP58" s="112">
        <f>IF(OR(BM58="",BM59="",AND(BN58="",BN59&lt;&gt;""),AND(BN59="",BN58&lt;&gt;""),AND(BO58="",BO59&lt;&gt;""),AND(BO59="",BO58&lt;&gt;"")),"",BM58*1000+BN58*10+BO58)</f>
        <v>1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0</v>
      </c>
      <c r="H59" s="80" t="str">
        <f>AE8</f>
        <v>Mexico</v>
      </c>
      <c r="I59" s="69"/>
      <c r="J59" s="33" t="str">
        <f>VLOOKUP(3,AD56:AN59,2,FALSE)</f>
        <v>France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8 - 4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1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1</v>
      </c>
      <c r="AH59" s="123">
        <f>COUNTIF($S$7:$T$78,"=" &amp; AE59 &amp; "_lose")</f>
        <v>0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2</v>
      </c>
      <c r="AL59" s="123">
        <f>AI59-AJ59</f>
        <v>2</v>
      </c>
      <c r="AM59" s="123">
        <f>AL59-AL60</f>
        <v>11</v>
      </c>
      <c r="AN59" s="123">
        <f>AF59*3+AG59</f>
        <v>7</v>
      </c>
      <c r="AO59" s="123">
        <f>AN59/AN60*10+BA59</f>
        <v>8.75</v>
      </c>
      <c r="AP59" s="123">
        <f>AO59*10000000+BI59*100+AM59/AM60*10+AI59/AI60*1++IF(AQ59=0,ROW(),AQ59)/2000000</f>
        <v>87500008.30236277</v>
      </c>
      <c r="AQ59" s="126">
        <f>VLOOKUP(AE59,db_fifarank,2,FALSE)</f>
        <v>1550.94</v>
      </c>
      <c r="AR59" s="125">
        <f>AP59/AP60</f>
        <v>0.9999999885714298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>
        <v>0</v>
      </c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2</v>
      </c>
      <c r="G60" s="20">
        <v>0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1 - 10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3</v>
      </c>
      <c r="AG60" s="123">
        <f t="shared" si="27"/>
        <v>3</v>
      </c>
      <c r="AH60" s="123">
        <f t="shared" si="27"/>
        <v>4</v>
      </c>
      <c r="AI60" s="123">
        <f>MAX(AI56:AI59)+1</f>
        <v>9</v>
      </c>
      <c r="AL60" s="123">
        <f>MIN(AL56:AL59)</f>
        <v>-9</v>
      </c>
      <c r="AM60" s="123">
        <f>MAX(AM56:AM59)+1</f>
        <v>14</v>
      </c>
      <c r="AN60" s="123">
        <f>MAX(AN56:AN59)+1</f>
        <v>8</v>
      </c>
      <c r="AO60" s="123">
        <f>MAX(AO56:AO59)+1</f>
        <v>9.75</v>
      </c>
      <c r="AP60" s="123">
        <f>MAX(AP56:AP59)+1</f>
        <v>87500009.30236277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0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1</v>
      </c>
      <c r="G61" s="20">
        <v>4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United States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2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10</v>
      </c>
      <c r="AJ62" s="123">
        <f>SUMIF($E$7:$E$78,$AE62,$G$7:$G$78) + SUMIF($H$7:$H$78,$AE62,$F$7:$F$78)</f>
        <v>4</v>
      </c>
      <c r="AL62" s="123">
        <f>AI62-AJ62</f>
        <v>6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90000010.140797555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4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4000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10 - 4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1</v>
      </c>
      <c r="W63" s="123">
        <f t="shared" si="22"/>
        <v>1</v>
      </c>
      <c r="X63" s="123">
        <f t="shared" si="9"/>
        <v>1</v>
      </c>
      <c r="Y63" s="123">
        <f t="shared" si="10"/>
        <v>1</v>
      </c>
      <c r="Z63" s="123">
        <f t="shared" si="11"/>
        <v>1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5</v>
      </c>
      <c r="AL63" s="123">
        <f>AI63-AJ63</f>
        <v>-3</v>
      </c>
      <c r="AM63" s="123">
        <f>AL63-AL66</f>
        <v>3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30000002.49029262</v>
      </c>
      <c r="AQ63" s="126">
        <f>VLOOKUP(AE63,db_fifarank,2,FALSE)</f>
        <v>1564.26</v>
      </c>
      <c r="AR63" s="125">
        <f>AP63/AP66</f>
        <v>0.33333331974103986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Belgium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6 - 3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6</v>
      </c>
      <c r="AJ64" s="123">
        <f>SUMIF($E$7:$E$78,$AE64,$G$7:$G$78) + SUMIF($H$7:$H$78,$AE64,$F$7:$F$78)</f>
        <v>3</v>
      </c>
      <c r="AL64" s="123">
        <f>AI64-AJ64</f>
        <v>3</v>
      </c>
      <c r="AM64" s="123">
        <f>AL64-AL66</f>
        <v>9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60000007.469328195</v>
      </c>
      <c r="AQ64" s="126">
        <f>VLOOKUP(AE64,db_fifarank,2,FALSE)</f>
        <v>1593.45</v>
      </c>
      <c r="AR64" s="125">
        <f>AP64/AP66</f>
        <v>0.66666666713477574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United States</v>
      </c>
      <c r="CA64" s="61">
        <v>1</v>
      </c>
      <c r="CB64" s="63"/>
      <c r="CC64" s="25">
        <v>0</v>
      </c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2</v>
      </c>
      <c r="G65" s="20">
        <v>6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2 - 5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7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9.1604815909090906E-2</v>
      </c>
      <c r="AQ65" s="126">
        <f>VLOOKUP(AE65,db_fifarank,2,FALSE)</f>
        <v>1391.45</v>
      </c>
      <c r="AR65" s="125">
        <f>AP65/AP66</f>
        <v>1.0178311618848888E-9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England</v>
      </c>
      <c r="CA65" s="62">
        <v>1</v>
      </c>
      <c r="CB65" s="64"/>
      <c r="CC65" s="27">
        <v>1</v>
      </c>
      <c r="CD65" s="112">
        <f>IF(CD64="","",CA65*1000+CB65*10+CC65)</f>
        <v>1001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2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1 - 7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11</v>
      </c>
      <c r="AL66" s="123">
        <f>MIN(AL62:AL65)</f>
        <v>-6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90000011.140797555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Canada</v>
      </c>
      <c r="BM66" s="61">
        <v>1</v>
      </c>
      <c r="BN66" s="63"/>
      <c r="BO66" s="25">
        <v>0</v>
      </c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2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Norway_win</v>
      </c>
      <c r="T67" s="127" t="str">
        <f t="shared" si="20"/>
        <v>France_lose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1</v>
      </c>
      <c r="BK67" s="132"/>
      <c r="BL67" s="26" t="str">
        <f>IF(group_round_completed,VLOOKUP('3rd places'!E3,AK80:AS91,9,FALSE),"3rd Group E/F/G/I/J")</f>
        <v>Iran</v>
      </c>
      <c r="BM67" s="62">
        <v>1</v>
      </c>
      <c r="BN67" s="64"/>
      <c r="BO67" s="27">
        <v>1</v>
      </c>
      <c r="BP67" s="113">
        <f>IF(BP66="","",BM67*1000+BN67*10+BO67)</f>
        <v>1001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4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2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0</v>
      </c>
      <c r="AH68" s="123">
        <f>COUNTIF($S$7:$T$78,"=" &amp; AE68 &amp; "_lose")</f>
        <v>1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2</v>
      </c>
      <c r="AL68" s="123">
        <f>AI68-AJ68</f>
        <v>4</v>
      </c>
      <c r="AM68" s="123">
        <f>AL68-AL72</f>
        <v>8</v>
      </c>
      <c r="AN68" s="123">
        <f>AF68*3+AG68</f>
        <v>6</v>
      </c>
      <c r="AO68" s="123">
        <f>AN68/AN72*10+BA68</f>
        <v>7.5</v>
      </c>
      <c r="AP68" s="123">
        <f>AO68*10000000+BI68*100+AM68/AM72*10+AI68/AI72*1++IF(AQ68=0,ROW(),AQ68)/2000000</f>
        <v>75000009.746913657</v>
      </c>
      <c r="AQ68" s="126">
        <f>VLOOKUP(AE68,db_fifarank,2,FALSE)</f>
        <v>1763.83</v>
      </c>
      <c r="AR68" s="125">
        <f>AP68/AP72</f>
        <v>0.85714288782920389</v>
      </c>
      <c r="AS68" s="125" t="str">
        <f>IF(SUM(AF68:AH71)=12,J69,"1K")</f>
        <v>DR Congo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Iran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4</v>
      </c>
      <c r="G69" s="20">
        <v>0</v>
      </c>
      <c r="H69" s="80" t="str">
        <f>AE46</f>
        <v>Iran</v>
      </c>
      <c r="I69" s="69"/>
      <c r="J69" s="30" t="str">
        <f>VLOOKUP(1,AD68:AN71,2,FALSE)</f>
        <v>DR Congo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4 - 2</v>
      </c>
      <c r="P69" s="32">
        <f>L69*3+M69</f>
        <v>7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1</v>
      </c>
      <c r="AE69" s="124" t="str">
        <f>VLOOKUP("DR Congo",T,lang,FALSE)</f>
        <v>DR Congo</v>
      </c>
      <c r="AF69" s="123">
        <f>COUNTIF($S$7:$T$78,"=" &amp; AE69 &amp; "_win")</f>
        <v>2</v>
      </c>
      <c r="AG69" s="123">
        <f>COUNTIF($S$7:$T$78,"=" &amp; AE69 &amp; "_draw")</f>
        <v>1</v>
      </c>
      <c r="AH69" s="123">
        <f>COUNTIF($S$7:$T$78,"=" &amp; AE69 &amp; "_lose")</f>
        <v>0</v>
      </c>
      <c r="AI69" s="123">
        <f>SUMIF($E$7:$E$78,$AE69,$F$7:$F$78) + SUMIF($H$7:$H$78,$AE69,$G$7:$G$78)</f>
        <v>4</v>
      </c>
      <c r="AJ69" s="123">
        <f>SUMIF($E$7:$E$78,$AE69,$G$7:$G$78) + SUMIF($H$7:$H$78,$AE69,$F$7:$F$78)</f>
        <v>2</v>
      </c>
      <c r="AL69" s="123">
        <f>AI69-AJ69</f>
        <v>2</v>
      </c>
      <c r="AM69" s="123">
        <f>AL69-AL72</f>
        <v>6</v>
      </c>
      <c r="AN69" s="123">
        <f>AF69*3+AG69</f>
        <v>7</v>
      </c>
      <c r="AO69" s="123">
        <f>AN69/AN72*10+BA69</f>
        <v>8.75</v>
      </c>
      <c r="AP69" s="123">
        <f>AO69*10000000+BI69*100+AM69/AM72*10+AI69/AI72*1++IF(AQ69=0,ROW(),AQ69)/2000000</f>
        <v>87500007.238834411</v>
      </c>
      <c r="AQ69" s="126">
        <f>VLOOKUP(AE69,db_fifarank,2,FALSE)</f>
        <v>1478.35</v>
      </c>
      <c r="AR69" s="125">
        <f>AP69/AP72</f>
        <v>0.99999998857142969</v>
      </c>
      <c r="AS69" s="125" t="str">
        <f>IF(SUM(AF68:AH71)=12,J70,"2K")</f>
        <v>Portugal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England</v>
      </c>
      <c r="BT69" s="62">
        <v>3</v>
      </c>
      <c r="BU69" s="64"/>
      <c r="BV69" s="27"/>
      <c r="BW69" s="112">
        <f>IF(BW68="","",BT69*1000+BU69*10+BV69)</f>
        <v>3000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1</v>
      </c>
      <c r="H70" s="80" t="str">
        <f>AE44</f>
        <v>Belgium</v>
      </c>
      <c r="I70" s="69"/>
      <c r="J70" s="33" t="str">
        <f>VLOOKUP(2,AD68:AN71,2,FALSE)</f>
        <v>Portugal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6 - 2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4</v>
      </c>
      <c r="AL70" s="123">
        <f>AI70-AJ70</f>
        <v>-2</v>
      </c>
      <c r="AM70" s="123">
        <f>AL70-AL72</f>
        <v>2</v>
      </c>
      <c r="AN70" s="123">
        <f>AF70*3+AG70</f>
        <v>1</v>
      </c>
      <c r="AO70" s="123">
        <f>AN70/AN72*10+BA70</f>
        <v>1.25</v>
      </c>
      <c r="AP70" s="123">
        <f>AO70*10000000+BI70*100+AM70/AM72*10+AI70/AI72*1++IF(AQ70=0,ROW(),AQ70)/2000000</f>
        <v>12500002.508669177</v>
      </c>
      <c r="AQ70" s="126">
        <f>VLOOKUP(AE70,db_fifarank,2,FALSE)</f>
        <v>1465.34</v>
      </c>
      <c r="AR70" s="125">
        <f>AP70/AP72</f>
        <v>0.14285715807648808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DR Congo</v>
      </c>
      <c r="BM70" s="61">
        <v>0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Colombia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4 - 8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3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0</v>
      </c>
      <c r="AH71" s="123">
        <f>COUNTIF($S$7:$T$78,"=" &amp; AE71 &amp; "_lose")</f>
        <v>2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8</v>
      </c>
      <c r="AL71" s="123">
        <f>AI71-AJ71</f>
        <v>-4</v>
      </c>
      <c r="AM71" s="123">
        <f>AL71-AL72</f>
        <v>0</v>
      </c>
      <c r="AN71" s="123">
        <f>AF71*3+AG71</f>
        <v>3</v>
      </c>
      <c r="AO71" s="123">
        <f>AN71/AN72*10+BA71</f>
        <v>3.75</v>
      </c>
      <c r="AP71" s="123">
        <f>AO71*10000000+BI71*100+AM71/AM72*10+AI71/AI72*1++IF(AQ71=0,ROW(),AQ71)/2000000</f>
        <v>37500000.572275117</v>
      </c>
      <c r="AQ71" s="126">
        <f>VLOOKUP(AE71,db_fifarank,2,FALSE)</f>
        <v>1693.09</v>
      </c>
      <c r="AR71" s="125">
        <f>AP71/AP72</f>
        <v>0.42857139475824413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England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2 - 4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3</v>
      </c>
      <c r="AI72" s="123">
        <f>MAX(AI68:AI71)+1</f>
        <v>7</v>
      </c>
      <c r="AL72" s="123">
        <f>MIN(AL68:AL71)</f>
        <v>-4</v>
      </c>
      <c r="AM72" s="123">
        <f>MAX(AM68:AM71)+1</f>
        <v>9</v>
      </c>
      <c r="AN72" s="123">
        <f>MAX(AN68:AN71)+1</f>
        <v>8</v>
      </c>
      <c r="AO72" s="123">
        <f>MAX(AO68:AO71)+1</f>
        <v>9.75</v>
      </c>
      <c r="AP72" s="123">
        <f>MAX(AP68:AP71)+1</f>
        <v>87500008.238834411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1</v>
      </c>
      <c r="G73" s="20">
        <v>0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Panama_win</v>
      </c>
      <c r="T73" s="127" t="str">
        <f t="shared" si="20"/>
        <v>England_lose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0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Croatia_lose</v>
      </c>
      <c r="T74" s="127" t="str">
        <f t="shared" si="20"/>
        <v>Ghana_win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-1</v>
      </c>
      <c r="AD74" s="123">
        <f>COUNTIF(AR74:AR77,CONCATENATE("&gt;=",AR74))</f>
        <v>3</v>
      </c>
      <c r="AE74" s="124" t="str">
        <f>VLOOKUP("England",T,lang,FALSE)</f>
        <v>England</v>
      </c>
      <c r="AF74" s="123">
        <f>COUNTIF($S$7:$T$78,"=" &amp; AE74 &amp; "_win")</f>
        <v>1</v>
      </c>
      <c r="AG74" s="123">
        <f>COUNTIF($S$7:$T$78,"=" &amp; AE74 &amp; "_draw")</f>
        <v>1</v>
      </c>
      <c r="AH74" s="123">
        <f>COUNTIF($S$7:$T$78,"=" &amp; AE74 &amp; "_lose")</f>
        <v>1</v>
      </c>
      <c r="AI74" s="123">
        <f>SUMIF($E$7:$E$78,$AE74,$F$7:$F$78) + SUMIF($H$7:$H$78,$AE74,$G$7:$G$78)</f>
        <v>2</v>
      </c>
      <c r="AJ74" s="123">
        <f>SUMIF($E$7:$E$78,$AE74,$G$7:$G$78) + SUMIF($H$7:$H$78,$AE74,$F$7:$F$78)</f>
        <v>2</v>
      </c>
      <c r="AL74" s="123">
        <f>AI74-AJ74</f>
        <v>0</v>
      </c>
      <c r="AM74" s="123">
        <f>AL74-AL78</f>
        <v>2</v>
      </c>
      <c r="AN74" s="123">
        <f>AF74*3+AG74</f>
        <v>4</v>
      </c>
      <c r="AO74" s="123">
        <f>AN74/AN78*10+BA74</f>
        <v>6.6948682385575582</v>
      </c>
      <c r="AP74" s="123">
        <f>AO74*10000000+BI74*100+AM74/AM78*10+AI74/AI78*1++IF(AQ74=0,ROW(),AQ74)/2000000</f>
        <v>66948785.844740994</v>
      </c>
      <c r="AQ74" s="126">
        <f>VLOOKUP(AE74,db_fifarank,2,FALSE)</f>
        <v>1825.97</v>
      </c>
      <c r="AR74" s="125">
        <f>AP74/AP78</f>
        <v>0.78106908343562986</v>
      </c>
      <c r="AS74" s="125" t="str">
        <f>IF(SUM(AF74:AH77)=12,J75,"1L")</f>
        <v>Panama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50.5</v>
      </c>
      <c r="BA74" s="126">
        <f>AZ74/AZ78</f>
        <v>0.98058252427184467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50.5</v>
      </c>
      <c r="BI74" s="126">
        <f>BH74/BH78</f>
        <v>0.98058252427184467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0</v>
      </c>
      <c r="G75" s="20">
        <v>2</v>
      </c>
      <c r="H75" s="80" t="str">
        <f>AE64</f>
        <v>Austria</v>
      </c>
      <c r="I75" s="69"/>
      <c r="J75" s="30" t="str">
        <f>VLOOKUP(1,AD74:AN77,2,FALSE)</f>
        <v>Panama</v>
      </c>
      <c r="K75" s="31">
        <f>L75+M75+N75</f>
        <v>3</v>
      </c>
      <c r="L75" s="31">
        <f>VLOOKUP(1,AD74:AN77,3,FALSE)</f>
        <v>2</v>
      </c>
      <c r="M75" s="31">
        <f>VLOOKUP(1,AD74:AN77,4,FALSE)</f>
        <v>0</v>
      </c>
      <c r="N75" s="31">
        <f>VLOOKUP(1,AD74:AN77,5,FALSE)</f>
        <v>1</v>
      </c>
      <c r="O75" s="31" t="str">
        <f>VLOOKUP(1,AD74:AN77,6,FALSE) &amp; " - " &amp; VLOOKUP(1,AD74:AN77,7,FALSE)</f>
        <v>4 - 3</v>
      </c>
      <c r="P75" s="32">
        <f>L75*3+M75</f>
        <v>6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2</v>
      </c>
      <c r="AL75" s="123">
        <f>AI75-AJ75</f>
        <v>1</v>
      </c>
      <c r="AM75" s="123">
        <f>AL75-AL78</f>
        <v>3</v>
      </c>
      <c r="AN75" s="123">
        <f>AF75*3+AG75</f>
        <v>4</v>
      </c>
      <c r="AO75" s="123">
        <f>AN75/AN78*10+BA75</f>
        <v>6.6948682385575582</v>
      </c>
      <c r="AP75" s="123">
        <f>AO75*10000000+BI75*100+AM75/AM78*10+AI75/AI78*1++IF(AQ75=0,ROW(),AQ75)/2000000</f>
        <v>66948788.544686548</v>
      </c>
      <c r="AQ75" s="126">
        <f>VLOOKUP(AE75,db_fifarank,2,FALSE)</f>
        <v>1717.07</v>
      </c>
      <c r="AR75" s="125">
        <f>AP75/AP78</f>
        <v>0.78106911493499132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1</v>
      </c>
      <c r="G76" s="20">
        <v>4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3 - 2</v>
      </c>
      <c r="P76" s="34">
        <f>L76*3+M76</f>
        <v>4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4</v>
      </c>
      <c r="AL76" s="123">
        <f>AI76-AJ76</f>
        <v>-2</v>
      </c>
      <c r="AM76" s="123">
        <f>AL76-AL78</f>
        <v>0</v>
      </c>
      <c r="AN76" s="123">
        <f>AF76*3+AG76</f>
        <v>3</v>
      </c>
      <c r="AO76" s="123">
        <f>AN76/AN78*10+BA76</f>
        <v>4.2857142857142856</v>
      </c>
      <c r="AP76" s="123">
        <f>AO76*10000000+BI76*100+AM76/AM78*10+AI76/AI78*1++IF(AQ76=0,ROW(),AQ76)/2000000</f>
        <v>42857143.257816009</v>
      </c>
      <c r="AQ76" s="126">
        <f>VLOOKUP(AE76,db_fifarank,2,FALSE)</f>
        <v>1346.31</v>
      </c>
      <c r="AR76" s="125">
        <f>AP76/AP78</f>
        <v>0.49999995042003198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5</v>
      </c>
      <c r="H77" s="80" t="str">
        <f>AE68</f>
        <v>Portugal</v>
      </c>
      <c r="I77" s="69"/>
      <c r="J77" s="33" t="str">
        <f>VLOOKUP(3,AD74:AN77,2,FALSE)</f>
        <v>England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2 - 2</v>
      </c>
      <c r="P77" s="34">
        <f>L77*3+M77</f>
        <v>4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1</v>
      </c>
      <c r="AE77" s="124" t="str">
        <f>VLOOKUP("Panama",T,lang,FALSE)</f>
        <v>Panama</v>
      </c>
      <c r="AF77" s="123">
        <f>COUNTIF($S$7:$T$78,"=" &amp; AE77 &amp; "_win")</f>
        <v>2</v>
      </c>
      <c r="AG77" s="123">
        <f>COUNTIF($S$7:$T$78,"=" &amp; AE77 &amp; "_draw")</f>
        <v>0</v>
      </c>
      <c r="AH77" s="123">
        <f>COUNTIF($S$7:$T$78,"=" &amp; AE77 &amp; "_lose")</f>
        <v>1</v>
      </c>
      <c r="AI77" s="123">
        <f>SUMIF($E$7:$E$78,$AE77,$F$7:$F$78) + SUMIF($H$7:$H$78,$AE77,$G$7:$G$78)</f>
        <v>4</v>
      </c>
      <c r="AJ77" s="123">
        <f>SUMIF($E$7:$E$78,$AE77,$G$7:$G$78) + SUMIF($H$7:$H$78,$AE77,$F$7:$F$78)</f>
        <v>3</v>
      </c>
      <c r="AL77" s="123">
        <f>AI77-AJ77</f>
        <v>1</v>
      </c>
      <c r="AM77" s="123">
        <f>AL77-AL78</f>
        <v>3</v>
      </c>
      <c r="AN77" s="123">
        <f>AF77*3+AG77</f>
        <v>6</v>
      </c>
      <c r="AO77" s="123">
        <f>AN77/AN78*10+BA77</f>
        <v>8.5714285714285712</v>
      </c>
      <c r="AP77" s="123">
        <f>AO77*10000000+BI77*100+AM77/AM78*10+AI77/AI78*1++IF(AQ77=0,ROW(),AQ77)/2000000</f>
        <v>85714294.015056029</v>
      </c>
      <c r="AQ77" s="126">
        <f>VLOOKUP(AE77,db_fifarank,2,FALSE)</f>
        <v>1540.64</v>
      </c>
      <c r="AR77" s="125">
        <f>AP77/AP78</f>
        <v>0.99999998833333459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1</v>
      </c>
      <c r="M78" s="36">
        <f>VLOOKUP(4,AD74:AN77,4,FALSE)</f>
        <v>0</v>
      </c>
      <c r="N78" s="36">
        <f>VLOOKUP(4,AD74:AN77,5,FALSE)</f>
        <v>2</v>
      </c>
      <c r="O78" s="36" t="str">
        <f>VLOOKUP(4,AD74:AN77,6,FALSE) &amp; " - " &amp; VLOOKUP(4,AD74:AN77,7,FALSE)</f>
        <v>2 - 4</v>
      </c>
      <c r="P78" s="37">
        <f>L78*3+M78</f>
        <v>3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2</v>
      </c>
      <c r="AG78" s="123">
        <f t="shared" si="36"/>
        <v>2</v>
      </c>
      <c r="AH78" s="123">
        <f t="shared" si="36"/>
        <v>2</v>
      </c>
      <c r="AI78" s="123">
        <f>MAX(AI74:AI77)+1</f>
        <v>5</v>
      </c>
      <c r="AL78" s="123">
        <f>MIN(AL74:AL77)</f>
        <v>-2</v>
      </c>
      <c r="AM78" s="123">
        <f>MAX(AM74:AM77)+1</f>
        <v>4</v>
      </c>
      <c r="AN78" s="123">
        <f>MAX(AN74:AN77)+1</f>
        <v>7</v>
      </c>
      <c r="AO78" s="123">
        <f>MAX(AO74:AO77)+1</f>
        <v>9.5714285714285712</v>
      </c>
      <c r="AP78" s="123">
        <f>MAX(AP74:AP77)+1</f>
        <v>85714295.015056029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5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4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4</v>
      </c>
      <c r="AP80" s="123">
        <f>AN80/AN92*10000+AM80/AM92*1000+AI80/AI92*100+IF(AQ80=0,ROW(),AQ80)/2000000</f>
        <v>8366.6674609966685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France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8 - 4</v>
      </c>
      <c r="P81" s="98">
        <f>L81*3+M81</f>
        <v>4</v>
      </c>
      <c r="AD81" s="123">
        <f t="shared" ref="AD81:AD91" si="38">COUNTIF($AP$80:$AP$91,CONCATENATE("&gt;=",AP81))</f>
        <v>7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2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6255.5562484755555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Ⓔ Germany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8 - 5</v>
      </c>
      <c r="P82" s="101">
        <f t="shared" ref="P82:P92" si="48">L82*3+M82</f>
        <v>4</v>
      </c>
      <c r="AD82" s="123">
        <f t="shared" si="38"/>
        <v>11</v>
      </c>
      <c r="AE82" s="124" t="str">
        <f>J23</f>
        <v>Brazil</v>
      </c>
      <c r="AF82" s="123">
        <f t="shared" si="39"/>
        <v>0</v>
      </c>
      <c r="AG82" s="123">
        <f t="shared" ref="AG82:AG91" si="49">VLOOKUP($AE82,$AE$8:$AQ$78,3,FALSE)</f>
        <v>2</v>
      </c>
      <c r="AH82" s="123">
        <f t="shared" si="40"/>
        <v>1</v>
      </c>
      <c r="AI82" s="123">
        <f t="shared" si="41"/>
        <v>0</v>
      </c>
      <c r="AJ82" s="123">
        <f t="shared" si="42"/>
        <v>1</v>
      </c>
      <c r="AK82" s="123" t="s">
        <v>3182</v>
      </c>
      <c r="AL82" s="123">
        <f t="shared" si="43"/>
        <v>-1</v>
      </c>
      <c r="AM82" s="123">
        <f t="shared" si="44"/>
        <v>3</v>
      </c>
      <c r="AN82" s="123">
        <f t="shared" si="45"/>
        <v>2</v>
      </c>
      <c r="AP82" s="123">
        <f>AN82/AN92*10000+AM82/AM92*1000+AI82/AI92*100+IF(AQ82=0,ROW(),AQ82)/2000000</f>
        <v>4333.3342139133329</v>
      </c>
      <c r="AQ82" s="126">
        <f t="shared" si="37"/>
        <v>1761.16</v>
      </c>
      <c r="AR82" s="125" t="str">
        <f t="shared" ref="AR82:AR91" si="50">AR81&amp;IF(AD82&lt;=8,RIGHT(AK82,1),"")</f>
        <v>AB</v>
      </c>
      <c r="AS82" s="129" t="str">
        <f t="shared" si="46"/>
        <v/>
      </c>
      <c r="AT82" s="130" t="str">
        <f>"Ⓒ "&amp;AE82</f>
        <v>Ⓒ Brazil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Ⓗ Saudi Arabia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4 - 4</v>
      </c>
      <c r="P83" s="101">
        <f t="shared" si="48"/>
        <v>4</v>
      </c>
      <c r="AD83" s="123">
        <f t="shared" si="38"/>
        <v>12</v>
      </c>
      <c r="AE83" s="124" t="str">
        <f>J29</f>
        <v>Turkey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5</v>
      </c>
      <c r="AJ83" s="123">
        <f t="shared" si="42"/>
        <v>9</v>
      </c>
      <c r="AK83" s="123" t="s">
        <v>3184</v>
      </c>
      <c r="AL83" s="123">
        <f t="shared" si="43"/>
        <v>-4</v>
      </c>
      <c r="AM83" s="123">
        <f t="shared" si="44"/>
        <v>0</v>
      </c>
      <c r="AN83" s="123">
        <f t="shared" si="45"/>
        <v>2</v>
      </c>
      <c r="AP83" s="123">
        <f>AN83/AN92*10000+AM83/AM92*1000+AI83/AI92*100+IF(AQ83=0,ROW(),AQ83)/2000000</f>
        <v>4055.5563550755555</v>
      </c>
      <c r="AQ83" s="126">
        <f t="shared" si="37"/>
        <v>1599.04</v>
      </c>
      <c r="AR83" s="125" t="str">
        <f t="shared" si="50"/>
        <v>AB</v>
      </c>
      <c r="AS83" s="129" t="str">
        <f t="shared" si="46"/>
        <v/>
      </c>
      <c r="AT83" s="130" t="str">
        <f>"Ⓓ "&amp;AE83</f>
        <v>Ⓓ Turkey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Ⓛ England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2 - 2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Ecuador</v>
      </c>
      <c r="T84" s="127" t="str" cm="1">
        <f t="array" ref="T84">IF(OR(S84="",S84="draw"),INDEX(T,86,lang),S84)</f>
        <v>Ecuador</v>
      </c>
      <c r="AD84" s="123">
        <f t="shared" si="38"/>
        <v>2</v>
      </c>
      <c r="AE84" s="124" t="str">
        <f>J35</f>
        <v>Germany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8</v>
      </c>
      <c r="AJ84" s="123">
        <f t="shared" si="42"/>
        <v>5</v>
      </c>
      <c r="AK84" s="123" t="s">
        <v>3185</v>
      </c>
      <c r="AL84" s="123">
        <f t="shared" si="43"/>
        <v>3</v>
      </c>
      <c r="AM84" s="123">
        <f t="shared" si="44"/>
        <v>7</v>
      </c>
      <c r="AN84" s="123">
        <f t="shared" si="45"/>
        <v>4</v>
      </c>
      <c r="AP84" s="123">
        <f>AN84/AN92*10000+AM84/AM92*1000+AI84/AI92*100+IF(AQ84=0,ROW(),AQ84)/2000000</f>
        <v>8866.6675318516664</v>
      </c>
      <c r="AQ84" s="126">
        <f t="shared" si="37"/>
        <v>1730.37</v>
      </c>
      <c r="AR84" s="125" t="str">
        <f t="shared" si="50"/>
        <v>ABE</v>
      </c>
      <c r="AS84" s="129" t="str">
        <f t="shared" si="46"/>
        <v>Germany</v>
      </c>
      <c r="AT84" s="130" t="str">
        <f>"Ⓔ "&amp;AE84</f>
        <v>Ⓔ Germany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Ⓐ Korea Republic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3 - 4</v>
      </c>
      <c r="P85" s="101">
        <f t="shared" si="48"/>
        <v>4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Norway</v>
      </c>
      <c r="T85" s="127" t="str" cm="1">
        <f t="array" ref="T85">IF(OR(S85="",S85="draw"),INDEX(T,87,lang),S85)</f>
        <v>Norway</v>
      </c>
      <c r="AD85" s="123">
        <f t="shared" si="38"/>
        <v>6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3</v>
      </c>
      <c r="AJ85" s="123">
        <f t="shared" si="42"/>
        <v>5</v>
      </c>
      <c r="AK85" s="123" t="s">
        <v>3186</v>
      </c>
      <c r="AL85" s="123">
        <f t="shared" si="43"/>
        <v>-2</v>
      </c>
      <c r="AM85" s="123">
        <f t="shared" si="44"/>
        <v>2</v>
      </c>
      <c r="AN85" s="123">
        <f t="shared" si="45"/>
        <v>4</v>
      </c>
      <c r="AP85" s="123">
        <f>AN85/AN92*10000+AM85/AM92*1000+AI85/AI92*100+IF(AQ85=0,ROW(),AQ85)/2000000</f>
        <v>8255.5563129405564</v>
      </c>
      <c r="AQ85" s="126">
        <f t="shared" si="37"/>
        <v>1514.77</v>
      </c>
      <c r="AR85" s="125" t="str">
        <f t="shared" si="50"/>
        <v>ABEF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Ⓕ Sweden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3 - 5</v>
      </c>
      <c r="P86" s="101">
        <f t="shared" si="48"/>
        <v>4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Portugal</v>
      </c>
      <c r="T86" s="127" t="str" cm="1">
        <f t="array" ref="T86">IF(OR(S86="",S86="draw"),INDEX(T,88,lang),S86)</f>
        <v>Portugal</v>
      </c>
      <c r="AD86" s="123">
        <f t="shared" si="38"/>
        <v>8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3</v>
      </c>
      <c r="AJ86" s="123">
        <f t="shared" si="42"/>
        <v>6</v>
      </c>
      <c r="AK86" s="123" t="s">
        <v>3187</v>
      </c>
      <c r="AL86" s="123">
        <f t="shared" si="43"/>
        <v>-3</v>
      </c>
      <c r="AM86" s="123">
        <f t="shared" si="44"/>
        <v>1</v>
      </c>
      <c r="AN86" s="123">
        <f t="shared" si="45"/>
        <v>3</v>
      </c>
      <c r="AP86" s="123">
        <f>AN86/AN92*10000+AM86/AM92*1000+AI86/AI92*100+IF(AQ86=0,ROW(),AQ86)/2000000</f>
        <v>6144.4452520944442</v>
      </c>
      <c r="AQ86" s="126">
        <f t="shared" si="37"/>
        <v>1615.3</v>
      </c>
      <c r="AR86" s="125" t="str">
        <f t="shared" si="50"/>
        <v>ABEFG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Ⓑ Bosnia and Herzegovina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3 - 5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3</v>
      </c>
      <c r="AE87" s="124" t="str">
        <f>J53</f>
        <v>Saudi Arabia</v>
      </c>
      <c r="AF87" s="123">
        <f t="shared" si="39"/>
        <v>1</v>
      </c>
      <c r="AG87" s="123">
        <f t="shared" si="49"/>
        <v>1</v>
      </c>
      <c r="AH87" s="123">
        <f t="shared" si="40"/>
        <v>1</v>
      </c>
      <c r="AI87" s="123">
        <f t="shared" si="41"/>
        <v>4</v>
      </c>
      <c r="AJ87" s="123">
        <f t="shared" si="42"/>
        <v>4</v>
      </c>
      <c r="AK87" s="123" t="s">
        <v>3188</v>
      </c>
      <c r="AL87" s="123">
        <f t="shared" si="43"/>
        <v>0</v>
      </c>
      <c r="AM87" s="123">
        <f t="shared" si="44"/>
        <v>4</v>
      </c>
      <c r="AN87" s="123">
        <f t="shared" si="45"/>
        <v>4</v>
      </c>
      <c r="AP87" s="123">
        <f>AN87/AN92*10000+AM87/AM92*1000+AI87/AI92*100+IF(AQ87=0,ROW(),AQ87)/2000000</f>
        <v>8488.88959960389</v>
      </c>
      <c r="AQ87" s="126">
        <f t="shared" si="37"/>
        <v>1421.43</v>
      </c>
      <c r="AR87" s="125" t="str">
        <f t="shared" si="50"/>
        <v>ABEFGH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Ⓖ Iran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3 - 6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38"/>
        <v>1</v>
      </c>
      <c r="AE88" s="124" t="str">
        <f>J59</f>
        <v>France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8</v>
      </c>
      <c r="AJ88" s="123">
        <f t="shared" si="42"/>
        <v>4</v>
      </c>
      <c r="AK88" s="123" t="s">
        <v>3189</v>
      </c>
      <c r="AL88" s="123">
        <f t="shared" si="43"/>
        <v>4</v>
      </c>
      <c r="AM88" s="123">
        <f t="shared" si="44"/>
        <v>8</v>
      </c>
      <c r="AN88" s="123">
        <f t="shared" si="45"/>
        <v>4</v>
      </c>
      <c r="AP88" s="123">
        <f>AN88/AN92*10000+AM88/AM92*1000+AI88/AI92*100+IF(AQ88=0,ROW(),AQ88)/2000000</f>
        <v>8977.7787164377769</v>
      </c>
      <c r="AQ88" s="126">
        <f t="shared" si="37"/>
        <v>1877.32</v>
      </c>
      <c r="AR88" s="125" t="str">
        <f t="shared" si="50"/>
        <v>ABEFGHI</v>
      </c>
      <c r="AS88" s="129" t="str">
        <f t="shared" si="46"/>
        <v>France</v>
      </c>
      <c r="AT88" s="130" t="str">
        <f>"Ⓘ "&amp;AE88</f>
        <v>Ⓘ France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Ⓙ Algeria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9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5</v>
      </c>
      <c r="AK89" s="123" t="s">
        <v>3190</v>
      </c>
      <c r="AL89" s="123">
        <f t="shared" si="43"/>
        <v>-3</v>
      </c>
      <c r="AM89" s="123">
        <f t="shared" si="44"/>
        <v>1</v>
      </c>
      <c r="AN89" s="123">
        <f t="shared" si="45"/>
        <v>3</v>
      </c>
      <c r="AP89" s="123">
        <f>AN89/AN92*10000+AM89/AM92*1000+AI89/AI92*100+IF(AQ89=0,ROW(),AQ89)/2000000</f>
        <v>6133.3341154633335</v>
      </c>
      <c r="AQ89" s="126">
        <f t="shared" si="37"/>
        <v>1564.26</v>
      </c>
      <c r="AR89" s="125" t="str">
        <f t="shared" si="50"/>
        <v>ABEFGHI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Colombia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4 - 8</v>
      </c>
      <c r="P90" s="104">
        <f t="shared" si="48"/>
        <v>3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Australia</v>
      </c>
      <c r="T90" s="127" t="str" cm="1">
        <f t="array" ref="T90">IF(OR(S90="",S90="draw"),INDEX(T,92,lang),S90)</f>
        <v>Australia</v>
      </c>
      <c r="AD90" s="123">
        <f t="shared" si="38"/>
        <v>10</v>
      </c>
      <c r="AE90" s="124" t="str">
        <f>J71</f>
        <v>Colombia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4</v>
      </c>
      <c r="AJ90" s="123">
        <f t="shared" si="42"/>
        <v>8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6044.4452909894444</v>
      </c>
      <c r="AQ90" s="126">
        <f t="shared" si="37"/>
        <v>1693.09</v>
      </c>
      <c r="AR90" s="125" t="str">
        <f t="shared" si="50"/>
        <v>ABEFGHI</v>
      </c>
      <c r="AS90" s="129" t="str">
        <f t="shared" si="46"/>
        <v/>
      </c>
      <c r="AT90" s="130" t="str">
        <f>"Ⓚ "&amp;AE90</f>
        <v>Ⓚ Colombia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Ⓒ Brazil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0 - 1</v>
      </c>
      <c r="P91" s="104">
        <f t="shared" si="48"/>
        <v>2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Korea Republic</v>
      </c>
      <c r="T91" s="127" t="str" cm="1">
        <f t="array" ref="T91">IF(OR(S91="",S91="draw"),INDEX(T,93,lang),S91)</f>
        <v>Korea Republic</v>
      </c>
      <c r="AD91" s="123">
        <f t="shared" si="38"/>
        <v>4</v>
      </c>
      <c r="AE91" s="124" t="str">
        <f>J77</f>
        <v>England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2</v>
      </c>
      <c r="AJ91" s="123">
        <f>VLOOKUP($AE91,$AE$8:$AQ$78,6,FALSE)</f>
        <v>2</v>
      </c>
      <c r="AK91" s="123" t="s">
        <v>3192</v>
      </c>
      <c r="AL91" s="123">
        <f>VLOOKUP($AE91,$AE$8:$AQ$78,8,FALSE)</f>
        <v>0</v>
      </c>
      <c r="AM91" s="123">
        <f t="shared" si="44"/>
        <v>4</v>
      </c>
      <c r="AN91" s="123">
        <f>VLOOKUP($AE91,$AE$8:$AQ$78,10,FALSE)</f>
        <v>4</v>
      </c>
      <c r="AP91" s="123">
        <f>AN91/AN92*10000+AM91/AM92*1000+AI91/AI92*100+IF(AQ91=0,ROW(),AQ91)/2000000</f>
        <v>8466.6675796516683</v>
      </c>
      <c r="AQ91" s="126">
        <f t="shared" si="37"/>
        <v>1825.97</v>
      </c>
      <c r="AR91" s="125" t="str">
        <f t="shared" si="50"/>
        <v>ABEFGHIL</v>
      </c>
      <c r="AS91" s="129" t="str">
        <f t="shared" si="46"/>
        <v>England</v>
      </c>
      <c r="AT91" s="130" t="str">
        <f>"Ⓛ "&amp;AE91</f>
        <v>Ⓛ England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Ⓓ Turkey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2</v>
      </c>
      <c r="N92" s="106">
        <f>VLOOKUP(12,$AD$80:$AN$91,5,FALSE)</f>
        <v>1</v>
      </c>
      <c r="O92" s="106" t="str">
        <f>VLOOKUP(12,$AD$80:$AN$91,6,FALSE) &amp; " - " &amp; VLOOKUP(12,$AD$80:$AN$91,7,FALSE)</f>
        <v>5 - 9</v>
      </c>
      <c r="P92" s="107">
        <f t="shared" si="48"/>
        <v>2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9</v>
      </c>
      <c r="AJ92" s="123">
        <f>MAX(AJ80:AJ91)+1</f>
        <v>10</v>
      </c>
      <c r="AL92" s="123">
        <f>MIN(AL80:AL91)</f>
        <v>-4</v>
      </c>
      <c r="AM92" s="123">
        <f>MAX(AM80:AM91)+1</f>
        <v>9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draw</v>
      </c>
      <c r="T95" s="127" cm="1">
        <f t="array" ref="T95">IF(OR(S95="",S95="draw"),INDEX(T,94,lang),S95)</f>
        <v>0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draw</v>
      </c>
      <c r="T96" s="127" cm="1">
        <f t="array" ref="T96">IF(OR(S96="",S96="draw"),INDEX(T,95,lang),S96)</f>
        <v>0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draw</v>
      </c>
      <c r="T97" s="127" cm="1">
        <f t="array" ref="T97">IF(OR(S97="",S97="draw"),INDEX(T,96,lang),S97)</f>
        <v>0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draw</v>
      </c>
      <c r="T98" s="127" cm="1">
        <f t="array" ref="T98">IF(OR(S98="",S98="draw"),INDEX(T,97,lang),S98)</f>
        <v>0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Netherlands</v>
      </c>
      <c r="T102" s="127" t="str" cm="1">
        <f t="array" ref="T102">IF(OR(S102="",S102="draw"),INDEX(T,98,lang),S102)</f>
        <v>Netherlands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Ecuador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Ecuador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draw</v>
      </c>
      <c r="T103" s="127" cm="1">
        <f t="array" ref="T103">IF(OR(S103="",S103="draw"),INDEX(T,99,lang),S103)</f>
        <v>0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draw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cm="1">
        <f t="array" ref="AC103">IF(OR(U103="",U103="draw"),INDEX(T,101,lang),U103)</f>
        <v>0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Netherlands</v>
      </c>
      <c r="T111" s="127" t="str">
        <f>S111</f>
        <v>Netherlands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topLeftCell="A45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311</v>
      </c>
      <c r="C3" s="121" t="str">
        <f>'2026 World Cup'!AR91</f>
        <v>ABEFGHIL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3F</v>
      </c>
      <c r="H3" s="121" t="str">
        <f>VLOOKUP($C3,$C$6:$K$500,6,FALSE)</f>
        <v>3A</v>
      </c>
      <c r="I3" s="121" t="str">
        <f>VLOOKUP($C3,$C$6:$K$500,7,FALSE)</f>
        <v>3H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BC29A2-727F-4240-B313-1473E0FC74DB}"/>
</file>

<file path=customXml/itemProps2.xml><?xml version="1.0" encoding="utf-8"?>
<ds:datastoreItem xmlns:ds="http://schemas.openxmlformats.org/officeDocument/2006/customXml" ds:itemID="{DB2920F9-89DA-4E2E-A3BD-5DC317139395}"/>
</file>

<file path=customXml/itemProps3.xml><?xml version="1.0" encoding="utf-8"?>
<ds:datastoreItem xmlns:ds="http://schemas.openxmlformats.org/officeDocument/2006/customXml" ds:itemID="{B6B4B619-A91A-4B70-9DDA-71772CBCCA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Dag Wollebæk</cp:lastModifiedBy>
  <cp:revision/>
  <dcterms:created xsi:type="dcterms:W3CDTF">2017-12-27T19:32:51Z</dcterms:created>
  <dcterms:modified xsi:type="dcterms:W3CDTF">2026-06-11T10:03:15Z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