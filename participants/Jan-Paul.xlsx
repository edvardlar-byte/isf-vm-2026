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E469DC0D-B18C-4BAA-98F9-E991E7C616C1}" xr6:coauthVersionLast="47" xr6:coauthVersionMax="47" xr10:uidLastSave="{00000000-0000-0000-0000-000000000000}"/>
  <bookViews>
    <workbookView xWindow="5472" yWindow="348" windowWidth="17280" windowHeight="8964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T25" i="3"/>
  <c r="T49" i="3"/>
  <c r="S47" i="3"/>
  <c r="S67" i="3"/>
  <c r="S72" i="3"/>
  <c r="S70" i="3"/>
  <c r="T21" i="3"/>
  <c r="S42" i="3"/>
  <c r="S64" i="3"/>
  <c r="T18" i="3"/>
  <c r="T41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10" i="3"/>
  <c r="AR11" i="3" l="1"/>
  <c r="AR70" i="3"/>
  <c r="AD58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69" i="3" l="1"/>
  <c r="N69" i="3"/>
  <c r="L71" i="3"/>
  <c r="M69" i="3"/>
  <c r="L69" i="3"/>
  <c r="J69" i="3"/>
  <c r="AS68" i="3" s="1"/>
  <c r="BL70" i="3" s="1"/>
  <c r="O72" i="3"/>
  <c r="L72" i="3"/>
  <c r="M71" i="3"/>
  <c r="M72" i="3"/>
  <c r="O70" i="3"/>
  <c r="M70" i="3"/>
  <c r="J70" i="3"/>
  <c r="AS69" i="3" s="1"/>
  <c r="BL26" i="3" s="1"/>
  <c r="J71" i="3"/>
  <c r="AE90" i="3" s="1"/>
  <c r="AQ90" i="3" s="1"/>
  <c r="N71" i="3"/>
  <c r="J72" i="3"/>
  <c r="N70" i="3"/>
  <c r="N72" i="3"/>
  <c r="L70" i="3"/>
  <c r="L36" i="3"/>
  <c r="O71" i="3"/>
  <c r="M35" i="3"/>
  <c r="O36" i="3"/>
  <c r="J36" i="3"/>
  <c r="J33" i="3"/>
  <c r="AS32" i="3" s="1"/>
  <c r="BL10" i="3" s="1"/>
  <c r="O34" i="3"/>
  <c r="N36" i="3"/>
  <c r="N35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28" i="3" l="1"/>
  <c r="P71" i="3"/>
  <c r="AH90" i="3"/>
  <c r="AF90" i="3"/>
  <c r="AG90" i="3"/>
  <c r="AI90" i="3"/>
  <c r="P69" i="3"/>
  <c r="K69" i="3"/>
  <c r="AT90" i="3"/>
  <c r="P33" i="3"/>
  <c r="AN90" i="3"/>
  <c r="AL90" i="3"/>
  <c r="AJ90" i="3"/>
  <c r="K71" i="3"/>
  <c r="P70" i="3"/>
  <c r="P72" i="3"/>
  <c r="K72" i="3"/>
  <c r="K70" i="3"/>
  <c r="P35" i="3"/>
  <c r="P34" i="3"/>
  <c r="K36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S111" i="3" s="1"/>
  <c r="T111" i="3" s="1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BS69" i="3"/>
  <c r="BZ65" i="3" s="1"/>
  <c r="CG56" i="3" s="1"/>
  <c r="CN38" i="3" s="1"/>
  <c r="CK68" i="3" s="1"/>
  <c r="BS68" i="3"/>
  <c r="CN49" i="3" l="1"/>
  <c r="S91" i="3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<sst xmlns="http://schemas.openxmlformats.org/spreadsheetml/2006/main" count="9786" uniqueCount="3698">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</sst>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/>
  <cols>
    <col min="1" max="1" width="24.2187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21875" defaultRowHeight="14.4"/>
  <cols>
    <col min="1" max="1" width="1.21875" style="10" customWidth="1"/>
    <col min="2" max="2" width="18.77734375" style="10" bestFit="1" customWidth="1"/>
    <col min="3" max="3" width="20.21875" style="10" customWidth="1"/>
    <col min="4" max="4" width="9.21875" style="10"/>
    <col min="5" max="5" width="1.21875" style="10" customWidth="1"/>
    <col min="6" max="6" width="9.21875" style="10"/>
    <col min="7" max="7" width="27.5546875" style="10" bestFit="1" customWidth="1"/>
    <col min="8" max="8" width="2.77734375" style="10" customWidth="1"/>
    <col min="9" max="9" width="1.21875" style="10" customWidth="1"/>
    <col min="10" max="16384" width="9.21875" style="10"/>
  </cols>
  <sheetData>
    <row r="1" spans="2:27" ht="7.5" customHeight="1"/>
    <row r="2" spans="2:27" ht="16.2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X36" zoomScale="62" zoomScaleNormal="100" workbookViewId="0">
      <selection activeCell="CO50" sqref="CO50"/>
    </sheetView>
  </sheetViews>
  <sheetFormatPr defaultColWidth="9.21875" defaultRowHeight="14.4"/>
  <cols>
    <col min="1" max="1" width="4.77734375" style="3" customWidth="1"/>
    <col min="2" max="2" width="6.21875" style="3" customWidth="1"/>
    <col min="3" max="3" width="11.77734375" style="3" bestFit="1" customWidth="1"/>
    <col min="4" max="4" width="9" style="4" customWidth="1"/>
    <col min="5" max="5" width="22.5546875" style="5" customWidth="1"/>
    <col min="6" max="7" width="4.2187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77734375" style="9" customWidth="1"/>
    <col min="16" max="16" width="6.7773437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2187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21875" style="125" hidden="1" customWidth="1"/>
    <col min="44" max="44" width="10" style="125" hidden="1" customWidth="1"/>
    <col min="45" max="45" width="15.21875" style="125" hidden="1" customWidth="1"/>
    <col min="46" max="50" width="4.77734375" style="126" hidden="1" customWidth="1"/>
    <col min="51" max="51" width="9.21875" style="125" hidden="1" customWidth="1"/>
    <col min="52" max="61" width="9.21875" style="126" hidden="1" customWidth="1"/>
    <col min="62" max="62" width="9.21875" style="112" hidden="1" customWidth="1"/>
    <col min="63" max="63" width="3.21875" style="2" customWidth="1"/>
    <col min="64" max="64" width="19.77734375" style="2" customWidth="1"/>
    <col min="65" max="67" width="3" style="2" customWidth="1"/>
    <col min="68" max="69" width="2" style="111" customWidth="1"/>
    <col min="70" max="70" width="3.21875" style="2" customWidth="1"/>
    <col min="71" max="71" width="19.77734375" style="2" customWidth="1"/>
    <col min="72" max="74" width="3" style="2" customWidth="1"/>
    <col min="75" max="76" width="2" style="111" customWidth="1"/>
    <col min="77" max="77" width="4" style="2" customWidth="1"/>
    <col min="78" max="78" width="19.77734375" style="2" customWidth="1"/>
    <col min="79" max="81" width="3" style="2" customWidth="1"/>
    <col min="82" max="83" width="2" style="111" customWidth="1"/>
    <col min="84" max="84" width="3.77734375" style="2" customWidth="1"/>
    <col min="85" max="85" width="19.77734375" style="2" customWidth="1"/>
    <col min="86" max="88" width="3" style="2" customWidth="1"/>
    <col min="89" max="90" width="2" style="111" customWidth="1"/>
    <col min="91" max="91" width="3.77734375" style="2" customWidth="1"/>
    <col min="92" max="92" width="19.77734375" style="2" customWidth="1"/>
    <col min="93" max="95" width="3" style="2" customWidth="1"/>
    <col min="96" max="96" width="2" style="111" customWidth="1"/>
    <col min="97" max="16384" width="9.21875" style="2"/>
  </cols>
  <sheetData>
    <row r="1" spans="1:95" ht="46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90000009.429411933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10000000.429286294</v>
      </c>
      <c r="AQ9" s="126">
        <f>VLOOKUP(AE9,db_fifarank,2,FALSE)</f>
        <v>1429.73</v>
      </c>
      <c r="AR9" s="125">
        <f>AP9/AP12</f>
        <v>0.11111110300514256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2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40000003.429365762</v>
      </c>
      <c r="AQ10" s="126">
        <f>VLOOKUP(AE10,db_fifarank,2,FALSE)</f>
        <v>1588.66</v>
      </c>
      <c r="AR10" s="125">
        <f>AP10/AP12</f>
        <v>0.44444443104524123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0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20000000.286464978</v>
      </c>
      <c r="AQ11" s="126">
        <f>VLOOKUP(AE11,db_fifarank,2,FALSE)</f>
        <v>1501.38</v>
      </c>
      <c r="AR11" s="125">
        <f>AP11/AP12</f>
        <v>0.22222219965353462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-2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90000010.429411933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Norway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4</v>
      </c>
      <c r="AL14" s="123">
        <f>AI14-AJ14</f>
        <v>-2</v>
      </c>
      <c r="AM14" s="123">
        <f>AL14-AL18</f>
        <v>3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30000002.750778239</v>
      </c>
      <c r="AQ14" s="126">
        <f>VLOOKUP(AE14,db_fifarank,2,FALSE)</f>
        <v>1556.48</v>
      </c>
      <c r="AR14" s="125">
        <f>AP14/AP18</f>
        <v>0.33333332299942103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Norway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6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60000005.500692919</v>
      </c>
      <c r="AQ15" s="126">
        <f>VLOOKUP(AE15,db_fifarank,2,FALSE)</f>
        <v>1385.84</v>
      </c>
      <c r="AR15" s="125">
        <f>AP15/AP18</f>
        <v>0.66666664598924696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United States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7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8.0831101193591799E-12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Norway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90000010.042491376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-5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90000011.042491376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16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97305933.602505073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13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97305931.72668542</v>
      </c>
      <c r="AQ21" s="126">
        <f>VLOOKUP(AE21,db_fifarank,2,FALSE)</f>
        <v>1755.87</v>
      </c>
      <c r="AR21" s="125">
        <f>AP21/AP24</f>
        <v>0.9999999704455883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6.6373649524905018E-12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5 - 7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7</v>
      </c>
      <c r="AL23" s="123">
        <f>AI23-AJ23</f>
        <v>-2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37500004.67395179</v>
      </c>
      <c r="AQ23" s="126">
        <f>VLOOKUP(AE23,db_fifarank,2,FALSE)</f>
        <v>1498.35</v>
      </c>
      <c r="AR23" s="125">
        <f>AP23/AP24</f>
        <v>0.38538250341193864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Norway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-9</v>
      </c>
      <c r="AM24" s="123">
        <f>MAX(AM20:AM23)+1</f>
        <v>17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97305934.602505073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3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4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30000005.111947678</v>
      </c>
      <c r="AQ26" s="126">
        <f>VLOOKUP(AE26,db_fifarank,2,FALSE)</f>
        <v>1673.13</v>
      </c>
      <c r="AR26" s="125">
        <f>AP26/AP30</f>
        <v>0.33333335041785461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4</v>
      </c>
      <c r="AP27" s="123">
        <f>AO27*10000000+BI27*100+AM27/AM30*10+AI27/AI30*1++IF(AQ27=0,ROW(),AQ27)/2000000</f>
        <v>40000004.945196196</v>
      </c>
      <c r="AQ27" s="126">
        <f>VLOOKUP(AE27,db_fifarank,2,FALSE)</f>
        <v>1503.5</v>
      </c>
      <c r="AR27" s="125">
        <f>AP27/AP30</f>
        <v>0.44444444643787478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10000000.167457001</v>
      </c>
      <c r="AQ28" s="126">
        <f>VLOOKUP(AE28,db_fifarank,2,FALSE)</f>
        <v>1580.67</v>
      </c>
      <c r="AR28" s="125">
        <f>AP28/AP30</f>
        <v>0.11111109973344736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4 - 4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1</v>
      </c>
      <c r="AL29" s="123">
        <f>AI29-AJ29</f>
        <v>4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90000009.723021746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90000010.723021746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13</v>
      </c>
      <c r="AJ32" s="123">
        <f>SUMIF($E$7:$E$78,$AE32,$G$7:$G$78) + SUMIF($H$7:$H$78,$AE32,$F$7:$F$78)</f>
        <v>1</v>
      </c>
      <c r="AL32" s="123">
        <f>AI32-AJ32</f>
        <v>12</v>
      </c>
      <c r="AM32" s="123">
        <f>AL32-AL36</f>
        <v>25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90000010.544821233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13 - 1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13</v>
      </c>
      <c r="AL33" s="123">
        <f>AI33-AJ33</f>
        <v>-13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7.1924990773764889E-12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14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49805928.972067028</v>
      </c>
      <c r="AQ34" s="126">
        <f>VLOOKUP(AE34,db_fifarank,2,FALSE)</f>
        <v>1532.98</v>
      </c>
      <c r="AR34" s="125">
        <f>AP34/AP36</f>
        <v>0.55339913981303213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5 - 5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13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49805928.658911116</v>
      </c>
      <c r="AQ35" s="126">
        <f>VLOOKUP(AE35,db_fifarank,2,FALSE)</f>
        <v>1594.78</v>
      </c>
      <c r="AR35" s="125">
        <f>AP35/AP36</f>
        <v>0.55339913633352245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0 - 13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14</v>
      </c>
      <c r="AL36" s="123">
        <f>MIN(AL32:AL35)</f>
        <v>-13</v>
      </c>
      <c r="AM36" s="123">
        <f>MAX(AM32:AM35)+1</f>
        <v>26</v>
      </c>
      <c r="AN36" s="123">
        <f>MAX(AN32:AN35)+1</f>
        <v>10</v>
      </c>
      <c r="AO36" s="123">
        <f>MAX(AO32:AO35)+1</f>
        <v>10</v>
      </c>
      <c r="AP36" s="123">
        <f>MAX(AP32:AP35)+1</f>
        <v>90000011.544821233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4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87500008.800878927</v>
      </c>
      <c r="AQ38" s="126">
        <f>VLOOKUP(AE38,db_fifarank,2,FALSE)</f>
        <v>1757.87</v>
      </c>
      <c r="AR38" s="125">
        <f>AP38/AP42</f>
        <v>0.9999999885714298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France</v>
      </c>
      <c r="CO38" s="62">
        <v>2</v>
      </c>
      <c r="CP38" s="64"/>
      <c r="CQ38" s="27"/>
      <c r="CR38" s="111">
        <f>IF(CR37="","",CO38*1000+CP38*10+CQ38)</f>
        <v>2000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0</v>
      </c>
      <c r="AN39" s="123">
        <f>AF39*3+AG39</f>
        <v>2</v>
      </c>
      <c r="AO39" s="123">
        <f>AN39/AN42*10+BA39</f>
        <v>3.4805825242718447</v>
      </c>
      <c r="AP39" s="123">
        <f>AO39*10000000+BI39*100+AM39/AM42*10+AI39/AI42*1++IF(AQ39=0,ROW(),AQ39)/2000000</f>
        <v>34805923.701801084</v>
      </c>
      <c r="AQ39" s="126">
        <f>VLOOKUP(AE39,db_fifarank,2,FALSE)</f>
        <v>1660.43</v>
      </c>
      <c r="AR39" s="125">
        <f>AP39/AP42</f>
        <v>0.39778194060786792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Algeria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1 - 2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2</v>
      </c>
      <c r="AL40" s="123">
        <f>AI40-AJ40</f>
        <v>-1</v>
      </c>
      <c r="AM40" s="123">
        <f>AL40-AL42</f>
        <v>0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50000000.200757384</v>
      </c>
      <c r="AQ40" s="126">
        <f>VLOOKUP(AE40,db_fifarank,2,FALSE)</f>
        <v>1514.77</v>
      </c>
      <c r="AR40" s="125">
        <f>AP40/AP42</f>
        <v>0.57142850971720849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2</v>
      </c>
      <c r="AL41" s="123">
        <f>AI41-AJ41</f>
        <v>-1</v>
      </c>
      <c r="AM41" s="123">
        <f>AL41-AL42</f>
        <v>0</v>
      </c>
      <c r="AN41" s="123">
        <f>AF41*3+AG41</f>
        <v>2</v>
      </c>
      <c r="AO41" s="123">
        <f>AN41/AN42*10+BA41</f>
        <v>3.4805825242718447</v>
      </c>
      <c r="AP41" s="123">
        <f>AO41*10000000+BI41*100+AM41/AM42*10+AI41/AI42*1++IF(AQ41=0,ROW(),AQ41)/2000000</f>
        <v>34805923.501712397</v>
      </c>
      <c r="AQ41" s="126">
        <f>VLOOKUP(AE41,db_fifarank,2,FALSE)</f>
        <v>1483.05</v>
      </c>
      <c r="AR41" s="125">
        <f>AP41/AP42</f>
        <v>0.39778193832114034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1 - 2</v>
      </c>
      <c r="P42" s="37">
        <f>L42*3+M42</f>
        <v>2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2</v>
      </c>
      <c r="AI42" s="123">
        <f>MAX(AI38:AI41)+1</f>
        <v>5</v>
      </c>
      <c r="AL42" s="123">
        <f>MIN(AL38:AL41)</f>
        <v>-1</v>
      </c>
      <c r="AM42" s="123">
        <f>MAX(AM38:AM41)+1</f>
        <v>5</v>
      </c>
      <c r="AN42" s="123">
        <f>MAX(AN38:AN41)+1</f>
        <v>8</v>
      </c>
      <c r="AO42" s="123">
        <f>MAX(AO38:AO41)+1</f>
        <v>9.75</v>
      </c>
      <c r="AP42" s="123">
        <f>MAX(AP38:AP41)+1</f>
        <v>87500009.800878927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5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60000006.389670506</v>
      </c>
      <c r="AQ45" s="126">
        <f>VLOOKUP(AE45,db_fifarank,2,FALSE)</f>
        <v>1563.24</v>
      </c>
      <c r="AR45" s="125">
        <f>AP45/AP48</f>
        <v>0.66666665576357798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France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6</v>
      </c>
      <c r="AL46" s="123">
        <f>AI46-AJ46</f>
        <v>-3</v>
      </c>
      <c r="AM46" s="123">
        <f>AL46-AL48</f>
        <v>2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30000002.00080765</v>
      </c>
      <c r="AQ46" s="126">
        <f>VLOOKUP(AE46,db_fifarank,2,FALSE)</f>
        <v>1615.3</v>
      </c>
      <c r="AR46" s="125">
        <f>AP46/AP48</f>
        <v>0.33333331461481724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7.1198324586680133E-12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France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9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France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Norway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Argentina</v>
      </c>
      <c r="CO49" s="62">
        <v>3</v>
      </c>
      <c r="CP49" s="64"/>
      <c r="CQ49" s="27"/>
      <c r="CR49" s="111">
        <f>IF(CR48="","",CO49*1000+CP49*10+CQ49)</f>
        <v>3000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13</v>
      </c>
      <c r="AJ50" s="123">
        <f>SUMIF($E$7:$E$78,$AE50,$G$7:$G$78) + SUMIF($H$7:$H$78,$AE50,$F$7:$F$78)</f>
        <v>2</v>
      </c>
      <c r="AL50" s="123">
        <f>AI50-AJ50</f>
        <v>11</v>
      </c>
      <c r="AM50" s="123">
        <f>AL50-AL54</f>
        <v>19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90000010.42950964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4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4000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13 - 2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10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19805923.444511082</v>
      </c>
      <c r="AQ51" s="126">
        <f>VLOOKUP(AE51,db_fifarank,2,FALSE)</f>
        <v>1366.13</v>
      </c>
      <c r="AR51" s="125">
        <f>AP51/AP54</f>
        <v>0.22006578810296706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Ecuador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8</v>
      </c>
      <c r="AL52" s="123">
        <f>AI52-AJ52</f>
        <v>-6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19805924.444538731</v>
      </c>
      <c r="AQ52" s="126">
        <f>VLOOKUP(AE52,db_fifarank,2,FALSE)</f>
        <v>1421.43</v>
      </c>
      <c r="AR52" s="125">
        <f>AP52/AP54</f>
        <v>0.22006579921438396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2 - 8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60000005.929407962</v>
      </c>
      <c r="AQ53" s="126">
        <f>VLOOKUP(AE53,db_fifarank,2,FALSE)</f>
        <v>1673.07</v>
      </c>
      <c r="AR53" s="125">
        <f>AP53/AP54</f>
        <v>0.66666664788594532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2 - 10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14</v>
      </c>
      <c r="AL54" s="123">
        <f>MIN(AL50:AL53)</f>
        <v>-8</v>
      </c>
      <c r="AM54" s="123">
        <f>MAX(AM50:AM53)+1</f>
        <v>20</v>
      </c>
      <c r="AN54" s="123">
        <f>MAX(AN50:AN53)+1</f>
        <v>10</v>
      </c>
      <c r="AO54" s="123">
        <f>MAX(AO50:AO53)+1</f>
        <v>10</v>
      </c>
      <c r="AP54" s="123">
        <f>MAX(AP50:AP53)+1</f>
        <v>90000011.42950964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France</v>
      </c>
      <c r="CH55" s="61">
        <v>3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3000</v>
      </c>
      <c r="CL55" s="112"/>
    </row>
    <row r="56" spans="1:96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7</v>
      </c>
      <c r="AN56" s="123">
        <f>AF56*3+AG56</f>
        <v>6</v>
      </c>
      <c r="AO56" s="123">
        <f>AN56/AN60*10+BA56</f>
        <v>6</v>
      </c>
      <c r="AP56" s="123">
        <f>AO56*10000000+BI56*100+AM56/AM60*10+AI56/AI60*1++IF(AQ56=0,ROW(),AQ56)/2000000</f>
        <v>60000009.584271997</v>
      </c>
      <c r="AQ56" s="126">
        <f>VLOOKUP(AE56,db_fifarank,2,FALSE)</f>
        <v>1877.32</v>
      </c>
      <c r="AR56" s="125">
        <f>AP56/AP60</f>
        <v>0.66666669475776852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4</v>
      </c>
      <c r="AL57" s="123">
        <f>AI57-AJ57</f>
        <v>-2</v>
      </c>
      <c r="AM57" s="123">
        <f>AL57-AL60</f>
        <v>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30000002.834177826</v>
      </c>
      <c r="AQ57" s="126">
        <f>VLOOKUP(AE57,db_fifarank,2,FALSE)</f>
        <v>1688.99</v>
      </c>
      <c r="AR57" s="125">
        <f>AP57/AP60</f>
        <v>0.33333332562379603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5 - 2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4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8.0396657211922604E-12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4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4000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3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7</v>
      </c>
      <c r="AN59" s="123">
        <f>AF59*3+AG59</f>
        <v>9</v>
      </c>
      <c r="AO59" s="123">
        <f>AN59/AN60*10+BA59</f>
        <v>9</v>
      </c>
      <c r="AP59" s="123">
        <f>AO59*10000000+BI59*100+AM59/AM60*10+AI59/AI60*1++IF(AQ59=0,ROW(),AQ59)/2000000</f>
        <v>90000009.5841088</v>
      </c>
      <c r="AQ59" s="126">
        <f>VLOOKUP(AE59,db_fifarank,2,FALSE)</f>
        <v>1550.94</v>
      </c>
      <c r="AR59" s="125">
        <f>AP59/AP60</f>
        <v>0.99999998888889019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3</v>
      </c>
      <c r="BN59" s="64"/>
      <c r="BO59" s="27"/>
      <c r="BP59" s="113">
        <f>IF(BP58="","",BM59*1000+BN59*10+BO59)</f>
        <v>3000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0 - 4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6</v>
      </c>
      <c r="AL60" s="123">
        <f>MIN(AL56:AL59)</f>
        <v>-4</v>
      </c>
      <c r="AM60" s="123">
        <f>MAX(AM56:AM59)+1</f>
        <v>8</v>
      </c>
      <c r="AN60" s="123">
        <f>MAX(AN56:AN59)+1</f>
        <v>10</v>
      </c>
      <c r="AO60" s="123">
        <f>MAX(AO56:AO59)+1</f>
        <v>10</v>
      </c>
      <c r="AP60" s="123">
        <f>MAX(AP56:AP59)+1</f>
        <v>90000010.5841088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4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4000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90000010.161651701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7</v>
      </c>
      <c r="AN63" s="123">
        <f>AF63*3+AG63</f>
        <v>4</v>
      </c>
      <c r="AO63" s="123">
        <f>AN63/AN66*10+BA63</f>
        <v>4.9803921568627452</v>
      </c>
      <c r="AP63" s="123">
        <f>AO63*10000000+BI63*100+AM63/AM66*10+AI63/AI66*1++IF(AQ63=0,ROW(),AQ63)/2000000</f>
        <v>49804024.85862527</v>
      </c>
      <c r="AQ63" s="126">
        <f>VLOOKUP(AE63,db_fifarank,2,FALSE)</f>
        <v>1564.26</v>
      </c>
      <c r="AR63" s="125">
        <f>AP63/AP66</f>
        <v>0.55337798535569938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8</v>
      </c>
      <c r="AN64" s="123">
        <f>AF64*3+AG64</f>
        <v>4</v>
      </c>
      <c r="AO64" s="123">
        <f>AN64/AN66*10+BA64</f>
        <v>4.9803921568627452</v>
      </c>
      <c r="AP64" s="123">
        <f>AO64*10000000+BI64*100+AM64/AM66*10+AI64/AI66*1++IF(AQ64=0,ROW(),AQ64)/2000000</f>
        <v>49804025.822925583</v>
      </c>
      <c r="AQ64" s="126">
        <f>VLOOKUP(AE64,db_fifarank,2,FALSE)</f>
        <v>1593.45</v>
      </c>
      <c r="AR64" s="125">
        <f>AP64/AP66</f>
        <v>0.55337799607014593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</v>
      </c>
      <c r="BA64" s="126">
        <f>AZ64/AZ66</f>
        <v>0.98039215686274506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4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4000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2 - 2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7.7302768190815852E-12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-7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90000011.161651701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1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90000010.284972817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3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19804020.324491404</v>
      </c>
      <c r="AQ69" s="126">
        <f>VLOOKUP(AE69,db_fifarank,2,FALSE)</f>
        <v>1478.35</v>
      </c>
      <c r="AR69" s="125">
        <f>AP69/AP72</f>
        <v>0.22004464268103993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6 - 4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0.22004463472642322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4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60000005.546301089</v>
      </c>
      <c r="AQ71" s="126">
        <f>VLOOKUP(AE71,db_fifarank,2,FALSE)</f>
        <v>1693.09</v>
      </c>
      <c r="AR71" s="125">
        <f>AP71/AP72</f>
        <v>0.66666664469984582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11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90000011.284972817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90000009.948964924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0</v>
      </c>
      <c r="W75" s="123">
        <f t="shared" si="22"/>
        <v>0</v>
      </c>
      <c r="X75" s="123">
        <f t="shared" si="32"/>
        <v>1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60000007.845014386</v>
      </c>
      <c r="AQ75" s="126">
        <f>VLOOKUP(AE75,db_fifarank,2,FALSE)</f>
        <v>1717.07</v>
      </c>
      <c r="AR75" s="125">
        <f>AP75/AP78</f>
        <v>0.66666667273004854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4</v>
      </c>
      <c r="AL76" s="123">
        <f>AI76-AJ76</f>
        <v>0</v>
      </c>
      <c r="AM76" s="123">
        <f>AL76-AL78</f>
        <v>6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30000006.02664718</v>
      </c>
      <c r="AQ76" s="126">
        <f>VLOOKUP(AE76,db_fifarank,2,FALSE)</f>
        <v>1346.31</v>
      </c>
      <c r="AR76" s="125">
        <f>AP76/AP78</f>
        <v>0.33333335974435463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7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1.5958605042680239E-9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90000010.948964924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4</v>
      </c>
      <c r="AN80" s="123">
        <f>VLOOKUP($AE80,$AE$8:$AQ$78,10,FALSE)</f>
        <v>2</v>
      </c>
      <c r="AP80" s="123">
        <f>AN80/AN92*10000+AM80/AM92*1000+AI80/AI92*100+IF(AQ80=0,ROW(),AQ80)/2000000</f>
        <v>4604.7626554519047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Ecuador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6604.7626830019044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7</v>
      </c>
      <c r="AK82" s="123" t="s">
        <v>3182</v>
      </c>
      <c r="AL82" s="123">
        <f t="shared" si="43"/>
        <v>-2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6654.7626539369048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6923.810360374524</v>
      </c>
      <c r="AQ83" s="126">
        <f t="shared" si="37"/>
        <v>1673.13</v>
      </c>
      <c r="AR83" s="125" t="str">
        <f t="shared" si="50"/>
        <v>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8940.47698786619</v>
      </c>
      <c r="AQ84" s="126">
        <f t="shared" si="37"/>
        <v>1594.78</v>
      </c>
      <c r="AR84" s="125" t="str">
        <f t="shared" si="50"/>
        <v>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5 - 7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9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2</v>
      </c>
      <c r="AP85" s="123">
        <f>AN85/AN92*10000+AM85/AM92*1000+AI85/AI92*100+IF(AQ85=0,ROW(),AQ85)/2000000</f>
        <v>4747.6198778340477</v>
      </c>
      <c r="AQ85" s="126">
        <f t="shared" si="37"/>
        <v>1660.43</v>
      </c>
      <c r="AR85" s="125" t="str">
        <f t="shared" si="50"/>
        <v>BCDE</v>
      </c>
      <c r="AS85" s="129" t="str">
        <f t="shared" si="46"/>
        <v/>
      </c>
      <c r="AT85" s="130" t="str">
        <f>"Ⓕ "&amp;AE85</f>
        <v>Ⓕ Japan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8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6478.5722362214283</v>
      </c>
      <c r="AQ86" s="126">
        <f t="shared" si="37"/>
        <v>1615.3</v>
      </c>
      <c r="AR86" s="125" t="str">
        <f t="shared" si="50"/>
        <v>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Ⓑ Canada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8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2033.3340440483332</v>
      </c>
      <c r="AQ87" s="126">
        <f t="shared" si="37"/>
        <v>1421.43</v>
      </c>
      <c r="AR87" s="125" t="str">
        <f t="shared" si="50"/>
        <v>BCDEG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3 - 6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4</v>
      </c>
      <c r="AK88" s="123" t="s">
        <v>3189</v>
      </c>
      <c r="AL88" s="123">
        <f t="shared" si="43"/>
        <v>-2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6604.7627492569045</v>
      </c>
      <c r="AQ88" s="126">
        <f t="shared" si="37"/>
        <v>1688.99</v>
      </c>
      <c r="AR88" s="125" t="str">
        <f t="shared" si="50"/>
        <v>BCDEGI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Japan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2 - 3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6</v>
      </c>
      <c r="AN89" s="123">
        <f t="shared" si="45"/>
        <v>4</v>
      </c>
      <c r="AP89" s="123">
        <f>AN89/AN92*10000+AM89/AM92*1000+AI89/AI92*100+IF(AQ89=0,ROW(),AQ89)/2000000</f>
        <v>8890.4769726061913</v>
      </c>
      <c r="AQ89" s="126">
        <f t="shared" si="37"/>
        <v>1564.26</v>
      </c>
      <c r="AR89" s="125" t="str">
        <f t="shared" si="50"/>
        <v>BCDEGIJ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2159.5245486988092</v>
      </c>
      <c r="AQ90" s="126">
        <f t="shared" si="37"/>
        <v>1478.35</v>
      </c>
      <c r="AR90" s="125" t="str">
        <f t="shared" si="50"/>
        <v>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DR Congo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3</v>
      </c>
      <c r="AP91" s="123">
        <f>AN91/AN92*10000+AM91/AM92*1000+AI91/AI92*100+IF(AQ91=0,ROW(),AQ91)/2000000</f>
        <v>6923.810196964524</v>
      </c>
      <c r="AQ91" s="126">
        <f t="shared" si="37"/>
        <v>1346.31</v>
      </c>
      <c r="AR91" s="125" t="str">
        <f t="shared" si="50"/>
        <v>BCDEGIJL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9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Norway</v>
      </c>
      <c r="T102" s="127" t="str" cm="1">
        <f t="array" ref="T102">IF(OR(S102="",S102="draw"),INDEX(T,98,lang),S102)</f>
        <v>Norway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21875" defaultRowHeight="14.4"/>
  <cols>
    <col min="1" max="1" width="2.44140625" style="82" customWidth="1"/>
    <col min="2" max="2" width="9.21875" style="81"/>
    <col min="3" max="3" width="13.77734375" style="81" customWidth="1"/>
    <col min="4" max="11" width="9.44140625" style="81" customWidth="1"/>
    <col min="12" max="16384" width="9.21875" style="82"/>
  </cols>
  <sheetData>
    <row r="1" spans="2:11" ht="8.25" customHeight="1"/>
    <row r="2" spans="2:11" ht="21">
      <c r="B2" s="108" t="s">
        <v>3193</v>
      </c>
    </row>
    <row r="3" spans="2:11">
      <c r="B3" s="109">
        <f>MATCH(C3,C6:C500,0)</f>
        <v>138</v>
      </c>
      <c r="C3" s="121" t="str">
        <f>'2026 World Cup'!AR91</f>
        <v>BCDEGIJL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B46E89-23FB-4864-8811-50D23EB47791}"/>
</file>

<file path=customXml/itemProps2.xml><?xml version="1.0" encoding="utf-8"?>
<ds:datastoreItem xmlns:ds="http://schemas.openxmlformats.org/officeDocument/2006/customXml" ds:itemID="{4B459C1F-5C7A-4F52-9507-3D8A554FCAFB}"/>
</file>

<file path=customXml/itemProps3.xml><?xml version="1.0" encoding="utf-8"?>
<ds:datastoreItem xmlns:ds="http://schemas.openxmlformats.org/officeDocument/2006/customXml" ds:itemID="{C9F76DD4-6A23-44CE-BEEF-645096E23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Sara Seehuus</cp:lastModifiedBy>
  <cp:revision/>
  <dcterms:created xsi:type="dcterms:W3CDTF">2017-12-27T19:32:51Z</dcterms:created>
  <dcterms:modified xsi:type="dcterms:W3CDTF">2026-06-11T17:37:33Z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